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tka\Desktop\Stady\RideOn חומרים\נתוני תחרויות עבר\"/>
    </mc:Choice>
  </mc:AlternateContent>
  <xr:revisionPtr revIDLastSave="0" documentId="13_ncr:1_{7357B817-26DD-47AE-A8E3-108C2525E67E}" xr6:coauthVersionLast="47" xr6:coauthVersionMax="47" xr10:uidLastSave="{00000000-0000-0000-0000-000000000000}"/>
  <bookViews>
    <workbookView xWindow="-108" yWindow="-108" windowWidth="23256" windowHeight="13896" activeTab="4" xr2:uid="{556DA752-627F-4464-B188-31F4C82EED75}"/>
  </bookViews>
  <sheets>
    <sheet name="1+2" sheetId="8" r:id="rId1"/>
    <sheet name="3+4" sheetId="7" r:id="rId2"/>
    <sheet name="5+6" sheetId="2" r:id="rId3"/>
    <sheet name="7+8" sheetId="6" r:id="rId4"/>
    <sheet name="9+10" sheetId="1" r:id="rId5"/>
    <sheet name="סיכום" sheetId="5" r:id="rId6"/>
  </sheets>
  <externalReferences>
    <externalReference r:id="rId7"/>
    <externalReference r:id="rId8"/>
    <externalReference r:id="rId9"/>
  </externalReferences>
  <definedNames>
    <definedName name="_xlnm._FilterDatabase" localSheetId="1" hidden="1">'3+4'!$B$3:$L$31</definedName>
    <definedName name="_xlnm._FilterDatabase" localSheetId="4" hidden="1">'9+10'!$K$4:$L$4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" i="5" l="1"/>
  <c r="G35" i="5"/>
  <c r="F40" i="5"/>
  <c r="F37" i="5"/>
  <c r="F36" i="5"/>
  <c r="F39" i="5" s="1"/>
  <c r="F35" i="5"/>
  <c r="F34" i="5"/>
  <c r="F38" i="5" s="1"/>
  <c r="N21" i="7"/>
  <c r="H4" i="7"/>
  <c r="H16" i="5" l="1"/>
  <c r="K18" i="6"/>
  <c r="K14" i="6"/>
  <c r="L6" i="6"/>
  <c r="C46" i="7"/>
  <c r="E17" i="5"/>
  <c r="D39" i="5"/>
  <c r="E39" i="5"/>
  <c r="G39" i="5"/>
  <c r="G38" i="5"/>
  <c r="C39" i="5"/>
  <c r="C34" i="5"/>
  <c r="C38" i="5" s="1"/>
  <c r="C35" i="5"/>
  <c r="D34" i="5"/>
  <c r="D38" i="5" s="1"/>
  <c r="D35" i="5"/>
  <c r="D40" i="5"/>
  <c r="C40" i="5"/>
  <c r="E34" i="5"/>
  <c r="E35" i="5"/>
  <c r="E38" i="5" s="1"/>
  <c r="E40" i="5" l="1"/>
  <c r="G40" i="5"/>
  <c r="H29" i="5" l="1"/>
  <c r="H30" i="5"/>
  <c r="G30" i="5"/>
  <c r="G29" i="5"/>
  <c r="F29" i="5"/>
  <c r="E30" i="5"/>
  <c r="E29" i="5"/>
  <c r="D29" i="5"/>
  <c r="C29" i="5"/>
  <c r="F23" i="5"/>
  <c r="E24" i="5"/>
  <c r="H24" i="5" s="1"/>
  <c r="E23" i="5"/>
  <c r="D23" i="5"/>
  <c r="C23" i="5"/>
  <c r="C45" i="7"/>
  <c r="C40" i="7"/>
  <c r="C41" i="7" s="1"/>
  <c r="C37" i="7"/>
  <c r="C36" i="7"/>
  <c r="C35" i="7"/>
  <c r="K32" i="7"/>
  <c r="J32" i="7"/>
  <c r="L23" i="7"/>
  <c r="D23" i="7"/>
  <c r="H23" i="7" s="1"/>
  <c r="L19" i="7"/>
  <c r="D19" i="7"/>
  <c r="F19" i="7" s="1"/>
  <c r="I19" i="7" s="1"/>
  <c r="L18" i="7"/>
  <c r="D18" i="7"/>
  <c r="H18" i="7" s="1"/>
  <c r="L30" i="7"/>
  <c r="D30" i="7"/>
  <c r="H30" i="7" s="1"/>
  <c r="L29" i="7"/>
  <c r="D29" i="7"/>
  <c r="H29" i="7" s="1"/>
  <c r="L25" i="7"/>
  <c r="I25" i="7"/>
  <c r="H25" i="7"/>
  <c r="L26" i="7"/>
  <c r="I26" i="7"/>
  <c r="H26" i="7"/>
  <c r="L31" i="7"/>
  <c r="D31" i="7"/>
  <c r="H31" i="7" s="1"/>
  <c r="L24" i="7"/>
  <c r="I24" i="7"/>
  <c r="H24" i="7"/>
  <c r="L20" i="7"/>
  <c r="D20" i="7"/>
  <c r="H20" i="7" s="1"/>
  <c r="L22" i="7"/>
  <c r="D22" i="7"/>
  <c r="H22" i="7" s="1"/>
  <c r="L21" i="7"/>
  <c r="D21" i="7"/>
  <c r="F21" i="7" s="1"/>
  <c r="I21" i="7" s="1"/>
  <c r="L27" i="7"/>
  <c r="D27" i="7"/>
  <c r="H27" i="7" s="1"/>
  <c r="L28" i="7"/>
  <c r="I28" i="7"/>
  <c r="H28" i="7"/>
  <c r="L10" i="7"/>
  <c r="I10" i="7"/>
  <c r="H10" i="7"/>
  <c r="L9" i="7"/>
  <c r="H9" i="7"/>
  <c r="D9" i="7"/>
  <c r="F9" i="7" s="1"/>
  <c r="I9" i="7" s="1"/>
  <c r="L5" i="7"/>
  <c r="D5" i="7"/>
  <c r="H5" i="7" s="1"/>
  <c r="L4" i="7"/>
  <c r="D4" i="7"/>
  <c r="L11" i="7"/>
  <c r="I11" i="7"/>
  <c r="H11" i="7"/>
  <c r="L12" i="7"/>
  <c r="I12" i="7"/>
  <c r="H12" i="7"/>
  <c r="L6" i="7"/>
  <c r="D6" i="7"/>
  <c r="H6" i="7" s="1"/>
  <c r="L8" i="7"/>
  <c r="I8" i="7"/>
  <c r="D8" i="7"/>
  <c r="H8" i="7" s="1"/>
  <c r="L7" i="7"/>
  <c r="I7" i="7"/>
  <c r="D7" i="7"/>
  <c r="H7" i="7" s="1"/>
  <c r="L16" i="7"/>
  <c r="I16" i="7"/>
  <c r="H16" i="7"/>
  <c r="L14" i="7"/>
  <c r="I14" i="7"/>
  <c r="H14" i="7"/>
  <c r="L13" i="7"/>
  <c r="I13" i="7"/>
  <c r="H13" i="7"/>
  <c r="L17" i="7"/>
  <c r="I17" i="7"/>
  <c r="H17" i="7"/>
  <c r="L15" i="7"/>
  <c r="I15" i="7"/>
  <c r="H15" i="7"/>
  <c r="I30" i="5" l="1"/>
  <c r="F22" i="7"/>
  <c r="I22" i="7" s="1"/>
  <c r="F23" i="7"/>
  <c r="I23" i="7" s="1"/>
  <c r="H21" i="7"/>
  <c r="H32" i="7" s="1"/>
  <c r="C42" i="7" s="1"/>
  <c r="F29" i="7"/>
  <c r="I29" i="7" s="1"/>
  <c r="H19" i="7"/>
  <c r="L32" i="7"/>
  <c r="C38" i="7"/>
  <c r="H23" i="5"/>
  <c r="I29" i="5"/>
  <c r="F4" i="7"/>
  <c r="I4" i="7" s="1"/>
  <c r="F20" i="7"/>
  <c r="I20" i="7" s="1"/>
  <c r="F31" i="7"/>
  <c r="I31" i="7" s="1"/>
  <c r="F30" i="7"/>
  <c r="I30" i="7" s="1"/>
  <c r="F6" i="7"/>
  <c r="I6" i="7" s="1"/>
  <c r="F5" i="7"/>
  <c r="I5" i="7" s="1"/>
  <c r="F27" i="7"/>
  <c r="I27" i="7" s="1"/>
  <c r="F18" i="7"/>
  <c r="I18" i="7" s="1"/>
  <c r="I32" i="7" l="1"/>
  <c r="C43" i="7" s="1"/>
  <c r="C47" i="7" s="1"/>
  <c r="B69" i="6"/>
  <c r="B68" i="6"/>
  <c r="B63" i="6"/>
  <c r="H62" i="6"/>
  <c r="G62" i="6"/>
  <c r="F62" i="6"/>
  <c r="H61" i="6"/>
  <c r="F61" i="6"/>
  <c r="C61" i="6"/>
  <c r="G61" i="6" s="1"/>
  <c r="H60" i="6"/>
  <c r="F60" i="6"/>
  <c r="C60" i="6"/>
  <c r="G60" i="6" s="1"/>
  <c r="H59" i="6"/>
  <c r="F59" i="6"/>
  <c r="C59" i="6"/>
  <c r="G59" i="6" s="1"/>
  <c r="H58" i="6"/>
  <c r="F58" i="6"/>
  <c r="C58" i="6"/>
  <c r="G58" i="6" s="1"/>
  <c r="H57" i="6"/>
  <c r="F57" i="6"/>
  <c r="C57" i="6"/>
  <c r="G57" i="6" s="1"/>
  <c r="H56" i="6"/>
  <c r="F56" i="6"/>
  <c r="C56" i="6"/>
  <c r="G56" i="6" s="1"/>
  <c r="H55" i="6"/>
  <c r="F55" i="6"/>
  <c r="C55" i="6"/>
  <c r="G55" i="6" s="1"/>
  <c r="H54" i="6"/>
  <c r="F54" i="6"/>
  <c r="C54" i="6"/>
  <c r="G54" i="6" s="1"/>
  <c r="H53" i="6"/>
  <c r="F53" i="6"/>
  <c r="C53" i="6"/>
  <c r="G53" i="6" s="1"/>
  <c r="H52" i="6"/>
  <c r="F52" i="6"/>
  <c r="C52" i="6"/>
  <c r="G52" i="6" s="1"/>
  <c r="H51" i="6"/>
  <c r="F51" i="6"/>
  <c r="C51" i="6"/>
  <c r="G51" i="6" s="1"/>
  <c r="H50" i="6"/>
  <c r="F50" i="6"/>
  <c r="C50" i="6"/>
  <c r="G50" i="6" s="1"/>
  <c r="H49" i="6"/>
  <c r="F49" i="6"/>
  <c r="C49" i="6"/>
  <c r="G49" i="6" s="1"/>
  <c r="H48" i="6"/>
  <c r="G48" i="6"/>
  <c r="F48" i="6"/>
  <c r="H47" i="6"/>
  <c r="G47" i="6"/>
  <c r="F47" i="6"/>
  <c r="H46" i="6"/>
  <c r="G46" i="6"/>
  <c r="F46" i="6"/>
  <c r="H45" i="6"/>
  <c r="G45" i="6"/>
  <c r="F45" i="6"/>
  <c r="H44" i="6"/>
  <c r="F44" i="6"/>
  <c r="C44" i="6"/>
  <c r="G44" i="6" s="1"/>
  <c r="H43" i="6"/>
  <c r="F43" i="6"/>
  <c r="C43" i="6"/>
  <c r="G43" i="6" s="1"/>
  <c r="H42" i="6"/>
  <c r="F42" i="6"/>
  <c r="C42" i="6"/>
  <c r="G42" i="6" s="1"/>
  <c r="H41" i="6"/>
  <c r="F41" i="6"/>
  <c r="C41" i="6"/>
  <c r="G41" i="6" s="1"/>
  <c r="H40" i="6"/>
  <c r="F40" i="6"/>
  <c r="C40" i="6"/>
  <c r="G40" i="6" s="1"/>
  <c r="H39" i="6"/>
  <c r="F39" i="6"/>
  <c r="C39" i="6"/>
  <c r="G39" i="6" s="1"/>
  <c r="H38" i="6"/>
  <c r="F38" i="6"/>
  <c r="C38" i="6"/>
  <c r="G38" i="6" s="1"/>
  <c r="H37" i="6"/>
  <c r="F37" i="6"/>
  <c r="C37" i="6"/>
  <c r="G37" i="6" s="1"/>
  <c r="H36" i="6"/>
  <c r="F36" i="6"/>
  <c r="C36" i="6"/>
  <c r="G36" i="6" s="1"/>
  <c r="H35" i="6"/>
  <c r="F35" i="6"/>
  <c r="C35" i="6"/>
  <c r="G35" i="6" s="1"/>
  <c r="H34" i="6"/>
  <c r="G34" i="6"/>
  <c r="F34" i="6"/>
  <c r="H33" i="6"/>
  <c r="G33" i="6"/>
  <c r="F33" i="6"/>
  <c r="H32" i="6"/>
  <c r="G32" i="6"/>
  <c r="F32" i="6"/>
  <c r="H31" i="6"/>
  <c r="G31" i="6"/>
  <c r="F31" i="6"/>
  <c r="H30" i="6"/>
  <c r="F30" i="6"/>
  <c r="C30" i="6"/>
  <c r="G30" i="6" s="1"/>
  <c r="H29" i="6"/>
  <c r="F29" i="6"/>
  <c r="C29" i="6"/>
  <c r="G29" i="6" s="1"/>
  <c r="H28" i="6"/>
  <c r="F28" i="6"/>
  <c r="C28" i="6"/>
  <c r="G28" i="6" s="1"/>
  <c r="H27" i="6"/>
  <c r="F27" i="6"/>
  <c r="C27" i="6"/>
  <c r="G27" i="6" s="1"/>
  <c r="H26" i="6"/>
  <c r="F26" i="6"/>
  <c r="C26" i="6"/>
  <c r="G26" i="6" s="1"/>
  <c r="H25" i="6"/>
  <c r="F25" i="6"/>
  <c r="C25" i="6"/>
  <c r="G25" i="6" s="1"/>
  <c r="H24" i="6"/>
  <c r="F24" i="6"/>
  <c r="C24" i="6"/>
  <c r="G24" i="6" s="1"/>
  <c r="H23" i="6"/>
  <c r="F23" i="6"/>
  <c r="C23" i="6"/>
  <c r="G23" i="6" s="1"/>
  <c r="H22" i="6"/>
  <c r="F22" i="6"/>
  <c r="C22" i="6"/>
  <c r="G22" i="6" s="1"/>
  <c r="H21" i="6"/>
  <c r="F21" i="6"/>
  <c r="C21" i="6"/>
  <c r="G21" i="6" s="1"/>
  <c r="H20" i="6"/>
  <c r="G20" i="6"/>
  <c r="E20" i="6"/>
  <c r="F20" i="6" s="1"/>
  <c r="H19" i="6"/>
  <c r="G19" i="6"/>
  <c r="E19" i="6"/>
  <c r="F19" i="6" s="1"/>
  <c r="H18" i="6"/>
  <c r="G18" i="6"/>
  <c r="E18" i="6"/>
  <c r="F18" i="6" s="1"/>
  <c r="H17" i="6"/>
  <c r="G17" i="6"/>
  <c r="E17" i="6"/>
  <c r="F17" i="6" s="1"/>
  <c r="H16" i="6"/>
  <c r="F16" i="6"/>
  <c r="C16" i="6"/>
  <c r="G16" i="6" s="1"/>
  <c r="H15" i="6"/>
  <c r="F15" i="6"/>
  <c r="C15" i="6"/>
  <c r="G15" i="6" s="1"/>
  <c r="H14" i="6"/>
  <c r="F14" i="6"/>
  <c r="C14" i="6"/>
  <c r="G14" i="6" s="1"/>
  <c r="H13" i="6"/>
  <c r="F13" i="6"/>
  <c r="C13" i="6"/>
  <c r="G13" i="6" s="1"/>
  <c r="H12" i="6"/>
  <c r="F12" i="6"/>
  <c r="C12" i="6"/>
  <c r="G12" i="6" s="1"/>
  <c r="H11" i="6"/>
  <c r="F11" i="6"/>
  <c r="C11" i="6"/>
  <c r="G11" i="6" s="1"/>
  <c r="H10" i="6"/>
  <c r="F10" i="6"/>
  <c r="C10" i="6"/>
  <c r="G10" i="6" s="1"/>
  <c r="H9" i="6"/>
  <c r="F9" i="6"/>
  <c r="C9" i="6"/>
  <c r="G9" i="6" s="1"/>
  <c r="H8" i="6"/>
  <c r="F8" i="6"/>
  <c r="C8" i="6"/>
  <c r="G8" i="6" s="1"/>
  <c r="H7" i="6"/>
  <c r="F7" i="6"/>
  <c r="C7" i="6"/>
  <c r="G7" i="6" s="1"/>
  <c r="H6" i="6"/>
  <c r="G6" i="6"/>
  <c r="E6" i="6"/>
  <c r="F6" i="6" s="1"/>
  <c r="H5" i="6"/>
  <c r="G5" i="6"/>
  <c r="E5" i="6"/>
  <c r="F5" i="6" s="1"/>
  <c r="H4" i="6"/>
  <c r="G4" i="6"/>
  <c r="E4" i="6"/>
  <c r="F4" i="6" s="1"/>
  <c r="H3" i="6"/>
  <c r="H63" i="6" s="1"/>
  <c r="G3" i="6"/>
  <c r="E3" i="6"/>
  <c r="F3" i="6" s="1"/>
  <c r="F63" i="6" s="1"/>
  <c r="G63" i="6" l="1"/>
  <c r="B66" i="6" s="1"/>
  <c r="B67" i="6"/>
  <c r="G17" i="5" l="1"/>
  <c r="H17" i="5" s="1"/>
  <c r="C15" i="5" l="1"/>
  <c r="C14" i="5"/>
  <c r="C10" i="5" l="1"/>
  <c r="D10" i="5"/>
  <c r="H15" i="5"/>
  <c r="F14" i="5"/>
  <c r="H14" i="5" s="1"/>
  <c r="F9" i="5" l="1"/>
  <c r="F10" i="5" s="1"/>
  <c r="G10" i="5"/>
  <c r="E10" i="5"/>
  <c r="B76" i="2"/>
  <c r="B75" i="2"/>
  <c r="H73" i="2"/>
  <c r="F73" i="2"/>
  <c r="G73" i="2" s="1"/>
  <c r="E73" i="2"/>
  <c r="E72" i="2"/>
  <c r="B72" i="2"/>
  <c r="F72" i="2" s="1"/>
  <c r="G72" i="2" s="1"/>
  <c r="H71" i="2"/>
  <c r="F71" i="2"/>
  <c r="G71" i="2" s="1"/>
  <c r="E71" i="2"/>
  <c r="H70" i="2"/>
  <c r="F70" i="2"/>
  <c r="G70" i="2" s="1"/>
  <c r="E70" i="2"/>
  <c r="B68" i="2"/>
  <c r="H67" i="2"/>
  <c r="G67" i="2"/>
  <c r="E67" i="2"/>
  <c r="F67" i="2" s="1"/>
  <c r="H66" i="2"/>
  <c r="G66" i="2"/>
  <c r="E66" i="2"/>
  <c r="F66" i="2" s="1"/>
  <c r="H65" i="2"/>
  <c r="G65" i="2"/>
  <c r="E65" i="2"/>
  <c r="F65" i="2" s="1"/>
  <c r="H64" i="2"/>
  <c r="G64" i="2"/>
  <c r="E64" i="2"/>
  <c r="F64" i="2" s="1"/>
  <c r="H63" i="2"/>
  <c r="G63" i="2"/>
  <c r="E63" i="2"/>
  <c r="F63" i="2" s="1"/>
  <c r="H62" i="2"/>
  <c r="G62" i="2"/>
  <c r="E62" i="2"/>
  <c r="F62" i="2" s="1"/>
  <c r="H61" i="2"/>
  <c r="G61" i="2"/>
  <c r="E61" i="2"/>
  <c r="F61" i="2" s="1"/>
  <c r="H60" i="2"/>
  <c r="G60" i="2"/>
  <c r="E60" i="2"/>
  <c r="F60" i="2" s="1"/>
  <c r="H59" i="2"/>
  <c r="G59" i="2"/>
  <c r="E59" i="2"/>
  <c r="F59" i="2" s="1"/>
  <c r="H58" i="2"/>
  <c r="G58" i="2"/>
  <c r="E58" i="2"/>
  <c r="F58" i="2" s="1"/>
  <c r="H57" i="2"/>
  <c r="G57" i="2"/>
  <c r="E57" i="2"/>
  <c r="F57" i="2" s="1"/>
  <c r="H56" i="2"/>
  <c r="G56" i="2"/>
  <c r="E56" i="2"/>
  <c r="F56" i="2" s="1"/>
  <c r="H55" i="2"/>
  <c r="G55" i="2"/>
  <c r="E55" i="2"/>
  <c r="F55" i="2" s="1"/>
  <c r="H54" i="2"/>
  <c r="G54" i="2"/>
  <c r="E54" i="2"/>
  <c r="F54" i="2" s="1"/>
  <c r="H53" i="2"/>
  <c r="G53" i="2"/>
  <c r="E53" i="2"/>
  <c r="F53" i="2" s="1"/>
  <c r="H52" i="2"/>
  <c r="G52" i="2"/>
  <c r="E52" i="2"/>
  <c r="F52" i="2" s="1"/>
  <c r="H51" i="2"/>
  <c r="G51" i="2"/>
  <c r="E51" i="2"/>
  <c r="F51" i="2" s="1"/>
  <c r="H50" i="2"/>
  <c r="G50" i="2"/>
  <c r="E50" i="2"/>
  <c r="F50" i="2" s="1"/>
  <c r="H49" i="2"/>
  <c r="G49" i="2"/>
  <c r="E49" i="2"/>
  <c r="F49" i="2" s="1"/>
  <c r="H48" i="2"/>
  <c r="G48" i="2"/>
  <c r="E48" i="2"/>
  <c r="F48" i="2" s="1"/>
  <c r="H47" i="2"/>
  <c r="G47" i="2"/>
  <c r="E47" i="2"/>
  <c r="F47" i="2" s="1"/>
  <c r="H46" i="2"/>
  <c r="G46" i="2"/>
  <c r="E46" i="2"/>
  <c r="F46" i="2" s="1"/>
  <c r="H45" i="2"/>
  <c r="G45" i="2"/>
  <c r="E45" i="2"/>
  <c r="F45" i="2" s="1"/>
  <c r="H44" i="2"/>
  <c r="G44" i="2"/>
  <c r="E44" i="2"/>
  <c r="F44" i="2" s="1"/>
  <c r="H43" i="2"/>
  <c r="G43" i="2"/>
  <c r="E43" i="2"/>
  <c r="F43" i="2" s="1"/>
  <c r="H42" i="2"/>
  <c r="G42" i="2"/>
  <c r="E42" i="2"/>
  <c r="F42" i="2" s="1"/>
  <c r="H41" i="2"/>
  <c r="G41" i="2"/>
  <c r="E41" i="2"/>
  <c r="F41" i="2" s="1"/>
  <c r="H40" i="2"/>
  <c r="G40" i="2"/>
  <c r="E40" i="2"/>
  <c r="F40" i="2" s="1"/>
  <c r="H39" i="2"/>
  <c r="G39" i="2"/>
  <c r="E39" i="2"/>
  <c r="F39" i="2" s="1"/>
  <c r="H38" i="2"/>
  <c r="G38" i="2"/>
  <c r="E38" i="2"/>
  <c r="F38" i="2" s="1"/>
  <c r="H37" i="2"/>
  <c r="G37" i="2"/>
  <c r="E37" i="2"/>
  <c r="F37" i="2" s="1"/>
  <c r="H36" i="2"/>
  <c r="G36" i="2"/>
  <c r="E36" i="2"/>
  <c r="F36" i="2" s="1"/>
  <c r="H35" i="2"/>
  <c r="G35" i="2"/>
  <c r="E35" i="2"/>
  <c r="F35" i="2" s="1"/>
  <c r="H34" i="2"/>
  <c r="G34" i="2"/>
  <c r="E34" i="2"/>
  <c r="F34" i="2" s="1"/>
  <c r="H33" i="2"/>
  <c r="G33" i="2"/>
  <c r="E33" i="2"/>
  <c r="F33" i="2" s="1"/>
  <c r="H32" i="2"/>
  <c r="G32" i="2"/>
  <c r="E32" i="2"/>
  <c r="F32" i="2" s="1"/>
  <c r="H31" i="2"/>
  <c r="G31" i="2"/>
  <c r="E31" i="2"/>
  <c r="F31" i="2" s="1"/>
  <c r="H30" i="2"/>
  <c r="G30" i="2"/>
  <c r="E30" i="2"/>
  <c r="F30" i="2" s="1"/>
  <c r="H29" i="2"/>
  <c r="G29" i="2"/>
  <c r="E29" i="2"/>
  <c r="F29" i="2" s="1"/>
  <c r="H28" i="2"/>
  <c r="G28" i="2"/>
  <c r="E28" i="2"/>
  <c r="F28" i="2" s="1"/>
  <c r="H27" i="2"/>
  <c r="G27" i="2"/>
  <c r="E27" i="2"/>
  <c r="F27" i="2" s="1"/>
  <c r="H26" i="2"/>
  <c r="G26" i="2"/>
  <c r="E26" i="2"/>
  <c r="F26" i="2" s="1"/>
  <c r="H25" i="2"/>
  <c r="G25" i="2"/>
  <c r="E25" i="2"/>
  <c r="F25" i="2" s="1"/>
  <c r="H24" i="2"/>
  <c r="G24" i="2"/>
  <c r="E24" i="2"/>
  <c r="F24" i="2" s="1"/>
  <c r="H23" i="2"/>
  <c r="G23" i="2"/>
  <c r="E23" i="2"/>
  <c r="F23" i="2" s="1"/>
  <c r="H22" i="2"/>
  <c r="G22" i="2"/>
  <c r="E22" i="2"/>
  <c r="F22" i="2" s="1"/>
  <c r="H21" i="2"/>
  <c r="G21" i="2"/>
  <c r="E21" i="2"/>
  <c r="F21" i="2" s="1"/>
  <c r="H20" i="2"/>
  <c r="G20" i="2"/>
  <c r="E20" i="2"/>
  <c r="F20" i="2" s="1"/>
  <c r="H19" i="2"/>
  <c r="G19" i="2"/>
  <c r="E19" i="2"/>
  <c r="F19" i="2" s="1"/>
  <c r="H18" i="2"/>
  <c r="G18" i="2"/>
  <c r="E18" i="2"/>
  <c r="F18" i="2" s="1"/>
  <c r="H17" i="2"/>
  <c r="G17" i="2"/>
  <c r="E17" i="2"/>
  <c r="F17" i="2" s="1"/>
  <c r="H16" i="2"/>
  <c r="G16" i="2"/>
  <c r="E16" i="2"/>
  <c r="F16" i="2" s="1"/>
  <c r="H15" i="2"/>
  <c r="G15" i="2"/>
  <c r="E15" i="2"/>
  <c r="F15" i="2" s="1"/>
  <c r="H14" i="2"/>
  <c r="G14" i="2"/>
  <c r="E14" i="2"/>
  <c r="F14" i="2" s="1"/>
  <c r="H13" i="2"/>
  <c r="G13" i="2"/>
  <c r="E13" i="2"/>
  <c r="F13" i="2" s="1"/>
  <c r="H12" i="2"/>
  <c r="G12" i="2"/>
  <c r="E12" i="2"/>
  <c r="F12" i="2" s="1"/>
  <c r="H11" i="2"/>
  <c r="G11" i="2"/>
  <c r="E11" i="2"/>
  <c r="F11" i="2" s="1"/>
  <c r="H10" i="2"/>
  <c r="G10" i="2"/>
  <c r="B77" i="2" s="1"/>
  <c r="E10" i="2"/>
  <c r="F10" i="2" s="1"/>
  <c r="H9" i="2"/>
  <c r="G9" i="2"/>
  <c r="E9" i="2"/>
  <c r="F9" i="2" s="1"/>
  <c r="H8" i="2"/>
  <c r="G8" i="2"/>
  <c r="E8" i="2"/>
  <c r="F8" i="2" s="1"/>
  <c r="H7" i="2"/>
  <c r="G7" i="2"/>
  <c r="E7" i="2"/>
  <c r="F7" i="2" s="1"/>
  <c r="H6" i="2"/>
  <c r="G6" i="2"/>
  <c r="E6" i="2"/>
  <c r="F6" i="2" s="1"/>
  <c r="H5" i="2"/>
  <c r="G5" i="2"/>
  <c r="E5" i="2"/>
  <c r="F5" i="2" s="1"/>
  <c r="H4" i="2"/>
  <c r="G4" i="2"/>
  <c r="E4" i="2"/>
  <c r="F4" i="2" s="1"/>
  <c r="H3" i="2"/>
  <c r="G3" i="2"/>
  <c r="B78" i="2" s="1"/>
  <c r="E3" i="2"/>
  <c r="F3" i="2" s="1"/>
  <c r="F68" i="2" l="1"/>
  <c r="G68" i="2"/>
  <c r="H68" i="2"/>
  <c r="G74" i="2"/>
  <c r="H72" i="2"/>
  <c r="H74" i="2" s="1"/>
  <c r="H76" i="2" l="1"/>
  <c r="G76" i="2"/>
  <c r="E64" i="1" l="1"/>
  <c r="B64" i="1"/>
  <c r="H64" i="1" s="1"/>
  <c r="E63" i="1"/>
  <c r="B63" i="1"/>
  <c r="H63" i="1" s="1"/>
  <c r="H62" i="1"/>
  <c r="F62" i="1"/>
  <c r="G62" i="1" s="1"/>
  <c r="E62" i="1"/>
  <c r="H61" i="1"/>
  <c r="F61" i="1"/>
  <c r="G61" i="1" s="1"/>
  <c r="E61" i="1"/>
  <c r="B59" i="1"/>
  <c r="H58" i="1"/>
  <c r="G58" i="1"/>
  <c r="E58" i="1"/>
  <c r="F58" i="1" s="1"/>
  <c r="H57" i="1"/>
  <c r="G57" i="1"/>
  <c r="E57" i="1"/>
  <c r="F57" i="1" s="1"/>
  <c r="H56" i="1"/>
  <c r="G56" i="1"/>
  <c r="E56" i="1"/>
  <c r="F56" i="1" s="1"/>
  <c r="H55" i="1"/>
  <c r="G55" i="1"/>
  <c r="E55" i="1"/>
  <c r="F55" i="1" s="1"/>
  <c r="H54" i="1"/>
  <c r="G54" i="1"/>
  <c r="E54" i="1"/>
  <c r="F54" i="1" s="1"/>
  <c r="H53" i="1"/>
  <c r="G53" i="1"/>
  <c r="E53" i="1"/>
  <c r="F53" i="1" s="1"/>
  <c r="H52" i="1"/>
  <c r="G52" i="1"/>
  <c r="E52" i="1"/>
  <c r="F52" i="1" s="1"/>
  <c r="H51" i="1"/>
  <c r="G51" i="1"/>
  <c r="E51" i="1"/>
  <c r="F51" i="1" s="1"/>
  <c r="H50" i="1"/>
  <c r="G50" i="1"/>
  <c r="E50" i="1"/>
  <c r="F50" i="1" s="1"/>
  <c r="H49" i="1"/>
  <c r="G49" i="1"/>
  <c r="E49" i="1"/>
  <c r="F49" i="1" s="1"/>
  <c r="H48" i="1"/>
  <c r="G48" i="1"/>
  <c r="E48" i="1"/>
  <c r="F48" i="1" s="1"/>
  <c r="H47" i="1"/>
  <c r="G47" i="1"/>
  <c r="E47" i="1"/>
  <c r="F47" i="1" s="1"/>
  <c r="H46" i="1"/>
  <c r="G46" i="1"/>
  <c r="E46" i="1"/>
  <c r="F46" i="1" s="1"/>
  <c r="H45" i="1"/>
  <c r="G45" i="1"/>
  <c r="E45" i="1"/>
  <c r="F45" i="1" s="1"/>
  <c r="H44" i="1"/>
  <c r="G44" i="1"/>
  <c r="E44" i="1"/>
  <c r="F44" i="1" s="1"/>
  <c r="H43" i="1"/>
  <c r="G43" i="1"/>
  <c r="E43" i="1"/>
  <c r="F43" i="1" s="1"/>
  <c r="H42" i="1"/>
  <c r="G42" i="1"/>
  <c r="E42" i="1"/>
  <c r="F42" i="1" s="1"/>
  <c r="H41" i="1"/>
  <c r="G41" i="1"/>
  <c r="E41" i="1"/>
  <c r="F41" i="1" s="1"/>
  <c r="H40" i="1"/>
  <c r="G40" i="1"/>
  <c r="E40" i="1"/>
  <c r="F40" i="1" s="1"/>
  <c r="H39" i="1"/>
  <c r="G39" i="1"/>
  <c r="E39" i="1"/>
  <c r="F39" i="1" s="1"/>
  <c r="H38" i="1"/>
  <c r="G38" i="1"/>
  <c r="E38" i="1"/>
  <c r="F38" i="1" s="1"/>
  <c r="H37" i="1"/>
  <c r="G37" i="1"/>
  <c r="E37" i="1"/>
  <c r="F37" i="1" s="1"/>
  <c r="H36" i="1"/>
  <c r="G36" i="1"/>
  <c r="E36" i="1"/>
  <c r="F36" i="1" s="1"/>
  <c r="H35" i="1"/>
  <c r="G35" i="1"/>
  <c r="E35" i="1"/>
  <c r="F35" i="1" s="1"/>
  <c r="H34" i="1"/>
  <c r="G34" i="1"/>
  <c r="E34" i="1"/>
  <c r="F34" i="1" s="1"/>
  <c r="H33" i="1"/>
  <c r="G33" i="1"/>
  <c r="E33" i="1"/>
  <c r="F33" i="1" s="1"/>
  <c r="H32" i="1"/>
  <c r="G32" i="1"/>
  <c r="E32" i="1"/>
  <c r="F32" i="1" s="1"/>
  <c r="H31" i="1"/>
  <c r="G31" i="1"/>
  <c r="E31" i="1"/>
  <c r="F31" i="1" s="1"/>
  <c r="H30" i="1"/>
  <c r="G30" i="1"/>
  <c r="E30" i="1"/>
  <c r="F30" i="1" s="1"/>
  <c r="H29" i="1"/>
  <c r="G29" i="1"/>
  <c r="E29" i="1"/>
  <c r="F29" i="1" s="1"/>
  <c r="H28" i="1"/>
  <c r="G28" i="1"/>
  <c r="E28" i="1"/>
  <c r="F28" i="1" s="1"/>
  <c r="H27" i="1"/>
  <c r="G27" i="1"/>
  <c r="E27" i="1"/>
  <c r="F27" i="1" s="1"/>
  <c r="H26" i="1"/>
  <c r="G26" i="1"/>
  <c r="E26" i="1"/>
  <c r="F26" i="1" s="1"/>
  <c r="H25" i="1"/>
  <c r="G25" i="1"/>
  <c r="E25" i="1"/>
  <c r="F25" i="1" s="1"/>
  <c r="H24" i="1"/>
  <c r="G24" i="1"/>
  <c r="E24" i="1"/>
  <c r="F24" i="1" s="1"/>
  <c r="H23" i="1"/>
  <c r="G23" i="1"/>
  <c r="E23" i="1"/>
  <c r="F23" i="1" s="1"/>
  <c r="H22" i="1"/>
  <c r="G22" i="1"/>
  <c r="E22" i="1"/>
  <c r="F22" i="1" s="1"/>
  <c r="H21" i="1"/>
  <c r="G21" i="1"/>
  <c r="E21" i="1"/>
  <c r="F21" i="1" s="1"/>
  <c r="H20" i="1"/>
  <c r="G20" i="1"/>
  <c r="E20" i="1"/>
  <c r="F20" i="1" s="1"/>
  <c r="H19" i="1"/>
  <c r="G19" i="1"/>
  <c r="E19" i="1"/>
  <c r="F19" i="1" s="1"/>
  <c r="H18" i="1"/>
  <c r="G18" i="1"/>
  <c r="E18" i="1"/>
  <c r="F18" i="1" s="1"/>
  <c r="H17" i="1"/>
  <c r="G17" i="1"/>
  <c r="E17" i="1"/>
  <c r="F17" i="1" s="1"/>
  <c r="H16" i="1"/>
  <c r="G16" i="1"/>
  <c r="E16" i="1"/>
  <c r="F16" i="1" s="1"/>
  <c r="H15" i="1"/>
  <c r="G15" i="1"/>
  <c r="E15" i="1"/>
  <c r="F15" i="1" s="1"/>
  <c r="H14" i="1"/>
  <c r="G14" i="1"/>
  <c r="E14" i="1"/>
  <c r="F14" i="1" s="1"/>
  <c r="H13" i="1"/>
  <c r="G13" i="1"/>
  <c r="E13" i="1"/>
  <c r="F13" i="1" s="1"/>
  <c r="H12" i="1"/>
  <c r="G12" i="1"/>
  <c r="E12" i="1"/>
  <c r="F12" i="1" s="1"/>
  <c r="H11" i="1"/>
  <c r="G11" i="1"/>
  <c r="E11" i="1"/>
  <c r="F11" i="1" s="1"/>
  <c r="H10" i="1"/>
  <c r="G10" i="1"/>
  <c r="E10" i="1"/>
  <c r="F10" i="1" s="1"/>
  <c r="H9" i="1"/>
  <c r="G9" i="1"/>
  <c r="E9" i="1"/>
  <c r="F9" i="1" s="1"/>
  <c r="H8" i="1"/>
  <c r="G8" i="1"/>
  <c r="E8" i="1"/>
  <c r="F8" i="1" s="1"/>
  <c r="H7" i="1"/>
  <c r="G7" i="1"/>
  <c r="E7" i="1"/>
  <c r="F7" i="1" s="1"/>
  <c r="H6" i="1"/>
  <c r="G6" i="1"/>
  <c r="E6" i="1"/>
  <c r="F6" i="1" s="1"/>
  <c r="H5" i="1"/>
  <c r="G5" i="1"/>
  <c r="E5" i="1"/>
  <c r="F5" i="1" s="1"/>
  <c r="H4" i="1"/>
  <c r="G4" i="1"/>
  <c r="E4" i="1"/>
  <c r="F4" i="1" s="1"/>
  <c r="H3" i="1"/>
  <c r="G3" i="1"/>
  <c r="E3" i="1"/>
  <c r="F3" i="1" s="1"/>
  <c r="B67" i="1" l="1"/>
  <c r="B68" i="1"/>
  <c r="H65" i="1"/>
  <c r="H59" i="1"/>
  <c r="G59" i="1"/>
  <c r="F63" i="1"/>
  <c r="G63" i="1" s="1"/>
  <c r="F59" i="1"/>
  <c r="F64" i="1"/>
  <c r="G64" i="1" s="1"/>
  <c r="G65" i="1" l="1"/>
  <c r="H67" i="1"/>
  <c r="G67" i="1"/>
</calcChain>
</file>

<file path=xl/sharedStrings.xml><?xml version="1.0" encoding="utf-8"?>
<sst xmlns="http://schemas.openxmlformats.org/spreadsheetml/2006/main" count="361" uniqueCount="206">
  <si>
    <t>תחרות בוגרים 9+10 - 2024</t>
  </si>
  <si>
    <t>מספר כניסות</t>
  </si>
  <si>
    <t>חווה</t>
  </si>
  <si>
    <t>התאחדות</t>
  </si>
  <si>
    <t>סה"כ</t>
  </si>
  <si>
    <t>סה"כ תוכנה</t>
  </si>
  <si>
    <t>סה"כ חווה</t>
  </si>
  <si>
    <t>סה"כ התאחדות</t>
  </si>
  <si>
    <t>פייד טיים שלישי</t>
  </si>
  <si>
    <t>פייד טיים שלישי כפול</t>
  </si>
  <si>
    <t>פייד טיים רביעי בוקר</t>
  </si>
  <si>
    <t>פייד טיים רביעי בוקר כפול</t>
  </si>
  <si>
    <t>ריינינג פתוח לא מוגבל</t>
  </si>
  <si>
    <t>נונ פרו NRHA</t>
  </si>
  <si>
    <t>נונ פרו מוגבל NRHA</t>
  </si>
  <si>
    <t>נונ פרו פריים טיים 40+ NRHA</t>
  </si>
  <si>
    <t>נוער 14-18 NRHA</t>
  </si>
  <si>
    <t>נוער 13 NRHA</t>
  </si>
  <si>
    <t>נוביס התאחדות</t>
  </si>
  <si>
    <t>נוביס נונ פרו התאחדות</t>
  </si>
  <si>
    <t>פייד טיים רביעי ערב</t>
  </si>
  <si>
    <t>פייד טיים רביעי ערב כפול</t>
  </si>
  <si>
    <t>פייד טיים חמישי בוקר כפול</t>
  </si>
  <si>
    <t>פייד טיים חמישי בוקר</t>
  </si>
  <si>
    <t>פתוח לא מוגבל</t>
  </si>
  <si>
    <t>ירוקי התאחדות</t>
  </si>
  <si>
    <t>ירוקי נוער התאחדות</t>
  </si>
  <si>
    <t>נוער UNRESTRICTED NRHA</t>
  </si>
  <si>
    <t>נונ פרו 50+</t>
  </si>
  <si>
    <t>פתוח NRHA</t>
  </si>
  <si>
    <t>פתוח מוגבל NRHA</t>
  </si>
  <si>
    <t>נוביס L1 NRHA</t>
  </si>
  <si>
    <t xml:space="preserve">  L2 IRBC פטוריטי פתוח לבני 3 </t>
  </si>
  <si>
    <t xml:space="preserve"> L4 IRBC פטוריטי פתוח לבני 3 </t>
  </si>
  <si>
    <t>פייד טיים חמישי ערב</t>
  </si>
  <si>
    <t>פייד טיים חמישי ערב כפול</t>
  </si>
  <si>
    <t>פייד טיים שישי בוקר כפול</t>
  </si>
  <si>
    <t>פייד טיים שישי בוקר</t>
  </si>
  <si>
    <t>נוער UNRESTRICTED NRHA אליפות</t>
  </si>
  <si>
    <t>ירוקי התאחדות אליפות</t>
  </si>
  <si>
    <t>ירוקי נוער התאחדות אליפות</t>
  </si>
  <si>
    <t>נוביס התאחדות אליפות</t>
  </si>
  <si>
    <t>נוביס נונ פרו התאחדות אליפות</t>
  </si>
  <si>
    <t>נונ פרו 50+ אליפות</t>
  </si>
  <si>
    <t>פתוח NRHA אליפות</t>
  </si>
  <si>
    <t>פתוח מוגבל NRHA אליפות</t>
  </si>
  <si>
    <t>נוביס L1 NRHA אליפות</t>
  </si>
  <si>
    <t>פטוריטי נונ פרו לבני 4 IRBC  L2</t>
  </si>
  <si>
    <t>פטוריטי נונ פרו לבני 4 IRBC  L4</t>
  </si>
  <si>
    <t>פייד טיים שישי ערב</t>
  </si>
  <si>
    <t>פייד טיים שישי ערב כפול</t>
  </si>
  <si>
    <t>פייד טיים שבת בוקר כפול</t>
  </si>
  <si>
    <t>פייד טיים שבת בוקר</t>
  </si>
  <si>
    <t>נוער 14-18 NRHA אליפות</t>
  </si>
  <si>
    <t>נוער 13 NRHA אליפות</t>
  </si>
  <si>
    <t>נונ פרו NRHA אליפות</t>
  </si>
  <si>
    <t>נונ פרו מוגבל NRHA אליפות</t>
  </si>
  <si>
    <t>נונ פרו פריים טיים 40+ NRHA אליפות</t>
  </si>
  <si>
    <t>זוגות 1</t>
  </si>
  <si>
    <t>זוגות 2</t>
  </si>
  <si>
    <t>מספר</t>
  </si>
  <si>
    <t>מקצה לרישום דמי ביטול ושינוי לפני תחרות</t>
  </si>
  <si>
    <t xml:space="preserve"> </t>
  </si>
  <si>
    <t>רישום מאוחר</t>
  </si>
  <si>
    <t>תאים</t>
  </si>
  <si>
    <t>נסורת</t>
  </si>
  <si>
    <t>כרטיסים</t>
  </si>
  <si>
    <t>סה"כ הכנסות</t>
  </si>
  <si>
    <t>סה"כ הכנסות ממקצים</t>
  </si>
  <si>
    <t>סה"כ הכנסות מפייד טיים</t>
  </si>
  <si>
    <t>כמות כניסות</t>
  </si>
  <si>
    <t>כמות פייד טיימים</t>
  </si>
  <si>
    <t>תחרות בוגרים 5+6 - 2024</t>
  </si>
  <si>
    <t>פייד טיים שני</t>
  </si>
  <si>
    <t>פייד טיים שני כפול</t>
  </si>
  <si>
    <t>פייד טיים שלישי בוקר</t>
  </si>
  <si>
    <t>פייד טיים שלישי בוקר כפול</t>
  </si>
  <si>
    <t>פייד טיים שלישי קבוצתי</t>
  </si>
  <si>
    <t>NRHA Unrestricted Youth</t>
  </si>
  <si>
    <t>ריינינג נוביס נונ פרו</t>
  </si>
  <si>
    <t>NRHA Youth 14-18</t>
  </si>
  <si>
    <t>NRHA Youth 13 &amp; Under</t>
  </si>
  <si>
    <t>ריינינג נוביס - התאחדות</t>
  </si>
  <si>
    <t>מטוריטי נונ פרו NRHA</t>
  </si>
  <si>
    <t xml:space="preserve">  NRHA Non Pro</t>
  </si>
  <si>
    <t>NRHA Limited Non Pro</t>
  </si>
  <si>
    <t>NRHA Prime Time Non Pro</t>
  </si>
  <si>
    <t>פייד טיים שלישי ערב</t>
  </si>
  <si>
    <t>פייד טיים שלישי ערב כפול</t>
  </si>
  <si>
    <t>פייד טיים רביעי קבוצתי</t>
  </si>
  <si>
    <t>ריינינג נונ פרו לבני 50+ התאחדות</t>
  </si>
  <si>
    <t>פטוריטי נונ פרו NRHA</t>
  </si>
  <si>
    <t>ריינינג ירוקי התאחדות</t>
  </si>
  <si>
    <t>ריינינג ירוקי נוער</t>
  </si>
  <si>
    <t xml:space="preserve">דרבי פתוח NRHA L2 </t>
  </si>
  <si>
    <t>דרבי פתוח NRHA L4</t>
  </si>
  <si>
    <t>NRHA Open</t>
  </si>
  <si>
    <t>NRHA Limited Open</t>
  </si>
  <si>
    <t>NRHA Novice Horse L1</t>
  </si>
  <si>
    <t>פייד טיים חמישי קבוצתי</t>
  </si>
  <si>
    <t xml:space="preserve">ריינינג פתוח לא מוגבל </t>
  </si>
  <si>
    <t>מטוריטי פתוח NRHA</t>
  </si>
  <si>
    <t>פייד טיים שישי קבוצתי</t>
  </si>
  <si>
    <t>דרבי נונ פרו NRHA L2</t>
  </si>
  <si>
    <t>דרבי נונ פרו NRHA L4</t>
  </si>
  <si>
    <t>דרבי נונ פרו פריים טיים 40+ B2W</t>
  </si>
  <si>
    <t>סופר סלייד</t>
  </si>
  <si>
    <t>פטוריטי פתוח לבני 4 NRHA</t>
  </si>
  <si>
    <t xml:space="preserve">נסורת </t>
  </si>
  <si>
    <t>סה"כ כניסות</t>
  </si>
  <si>
    <t>סה"כ פייד טיים</t>
  </si>
  <si>
    <t>סה"כ הכנסות מכניסות</t>
  </si>
  <si>
    <t>הכנסות מקצים</t>
  </si>
  <si>
    <t>הכנסות פייד טיים</t>
  </si>
  <si>
    <t>הכנסות תאים</t>
  </si>
  <si>
    <t>הכנסות מקהל</t>
  </si>
  <si>
    <t>5+6 B2W</t>
  </si>
  <si>
    <t>7+8 דרבי</t>
  </si>
  <si>
    <t>9+10 אליפות ופטוריטי</t>
  </si>
  <si>
    <t xml:space="preserve">הכנסות נסורת </t>
  </si>
  <si>
    <t>כסף שיצא בצ'קים</t>
  </si>
  <si>
    <t>כסף שניתן במקצי שיא</t>
  </si>
  <si>
    <t>1+2</t>
  </si>
  <si>
    <t>3+4</t>
  </si>
  <si>
    <t>1+2 IRBC 2023</t>
  </si>
  <si>
    <t>7+8 IRBC דרבי</t>
  </si>
  <si>
    <t>כסף שנתן המארגן מקצי שיא</t>
  </si>
  <si>
    <t>כסף שנתן המארגן מקצי ליגה</t>
  </si>
  <si>
    <t>תחרות בוגרים 7+8 - 2024</t>
  </si>
  <si>
    <t xml:space="preserve">פטוריטי נונ פרו לבני 3 IRBC  </t>
  </si>
  <si>
    <t>דרבי נונ פרו L4</t>
  </si>
  <si>
    <t>דרבי נונ פרו L1</t>
  </si>
  <si>
    <t>דרבי נונ פרו L2</t>
  </si>
  <si>
    <t xml:space="preserve">נונ פרו NRHA </t>
  </si>
  <si>
    <t xml:space="preserve">נונ פרו מוגבל NRHA </t>
  </si>
  <si>
    <t xml:space="preserve">נונ פרו פריים טיים 40+ NRHA </t>
  </si>
  <si>
    <t>דרבי נונ פרו פריים טיים</t>
  </si>
  <si>
    <t xml:space="preserve">נוער UNRESTRICTED NRHA </t>
  </si>
  <si>
    <t xml:space="preserve">נוער 14-18 NRHA </t>
  </si>
  <si>
    <t xml:space="preserve">נוער 13 NRHA </t>
  </si>
  <si>
    <t xml:space="preserve">  IRBC פטוריטי פתוח לבני 3</t>
  </si>
  <si>
    <t xml:space="preserve">  IRBC פטוריטי נונ פרו לבני 4</t>
  </si>
  <si>
    <t xml:space="preserve">נוביס נונ פרו התאחדות </t>
  </si>
  <si>
    <t xml:space="preserve">ירוקי נוער התאחדות </t>
  </si>
  <si>
    <t xml:space="preserve">ירוקי התאחדות </t>
  </si>
  <si>
    <t xml:space="preserve">נוביס התאחדות </t>
  </si>
  <si>
    <t xml:space="preserve">נונ פרו 50+ </t>
  </si>
  <si>
    <t xml:space="preserve">דרבי נוביס L1 </t>
  </si>
  <si>
    <t xml:space="preserve">פתוח NRHA </t>
  </si>
  <si>
    <t xml:space="preserve">פתוח מוגבל NRHA </t>
  </si>
  <si>
    <t xml:space="preserve">נוביס L1 NRHA </t>
  </si>
  <si>
    <t>פתוח בני 4</t>
  </si>
  <si>
    <t xml:space="preserve">דרבי פתוח L2 </t>
  </si>
  <si>
    <t xml:space="preserve">דרבי פתוח L4 </t>
  </si>
  <si>
    <t>סהכ הכנסות חווה ממקצים</t>
  </si>
  <si>
    <t>סהכ הכנסות חווה מפייד טיימים</t>
  </si>
  <si>
    <t>תשלום התאחדות</t>
  </si>
  <si>
    <t>תחרות בוגרים 3+4 - 2024</t>
  </si>
  <si>
    <t>שם המקצה</t>
  </si>
  <si>
    <t>קופון ענף</t>
  </si>
  <si>
    <t>קופון דרבי</t>
  </si>
  <si>
    <t>תשלום לפרס</t>
  </si>
  <si>
    <t>סה"כ קופון ענף למקצה</t>
  </si>
  <si>
    <t>סה"כ תשלום לפרס למקצה</t>
  </si>
  <si>
    <t>סה"כ ג'קפוט למקצה</t>
  </si>
  <si>
    <t>סה"כ פרס כספי למקצה</t>
  </si>
  <si>
    <t>סה"כ הכנסות התאחדות ממקצה</t>
  </si>
  <si>
    <t>סה"כ קבלות התאחדות מהלוגליג</t>
  </si>
  <si>
    <t>בוצעה העברה להתאחדות מליאור דובובסקי לא נמצא בלוגליג</t>
  </si>
  <si>
    <t xml:space="preserve">זיכויים </t>
  </si>
  <si>
    <t>סה"כ גביה ממתחרים</t>
  </si>
  <si>
    <t>כמות כניסות לקופון דרבי</t>
  </si>
  <si>
    <t>סה"כ קופון דרבי (50 ₪)</t>
  </si>
  <si>
    <t>סה"כ קופון ענף</t>
  </si>
  <si>
    <t>סה"כ גביה ממתחרים לפרס</t>
  </si>
  <si>
    <t>סה"כ פרסים מוספים תחרות 3</t>
  </si>
  <si>
    <t>להוציא חשבונית לחיוב דאבל קיי</t>
  </si>
  <si>
    <t>סה"כ פרסים מוספים תחרות 4</t>
  </si>
  <si>
    <t>מתקציב ועדה</t>
  </si>
  <si>
    <t>סה"כ תשלום פרסים למתחרים</t>
  </si>
  <si>
    <t>עלות כניסה 2023</t>
  </si>
  <si>
    <t>עלות כניסה 2024</t>
  </si>
  <si>
    <t>עלות כניסה 2022</t>
  </si>
  <si>
    <t>7+8</t>
  </si>
  <si>
    <t>9+10</t>
  </si>
  <si>
    <t>5+6 ודרבי IRBC</t>
  </si>
  <si>
    <t>גרין פילדס</t>
  </si>
  <si>
    <t>דאבל קיי</t>
  </si>
  <si>
    <t>בוטלה</t>
  </si>
  <si>
    <t xml:space="preserve">כסף שיצא בצ'קים </t>
  </si>
  <si>
    <t>9+10 ופטוריטי התאחדות</t>
  </si>
  <si>
    <t>אליפות ופטוריטי IRBC</t>
  </si>
  <si>
    <t xml:space="preserve">5+6 ודרבי </t>
  </si>
  <si>
    <t>IRBC</t>
  </si>
  <si>
    <t xml:space="preserve">פטוריטי פתוח </t>
  </si>
  <si>
    <t xml:space="preserve">דרבי פתוח </t>
  </si>
  <si>
    <t>דרבי נונ פרו</t>
  </si>
  <si>
    <t>פטוריטי נונ פרו</t>
  </si>
  <si>
    <t>סה"כ IRBC</t>
  </si>
  <si>
    <t>התאחדות ולא IRBC</t>
  </si>
  <si>
    <t>גרין פילדס\דאבל קיי</t>
  </si>
  <si>
    <t>דאבל קיי/ גרין פילדס</t>
  </si>
  <si>
    <t>סה"כ דרבי</t>
  </si>
  <si>
    <t>סה"כ פטוריטי</t>
  </si>
  <si>
    <t>קאטינג</t>
  </si>
  <si>
    <t>ריינינג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</si>
</sst>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₪&quot;\ #,##0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rgb="FFC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9"/>
      <name val="Arial"/>
      <family val="2"/>
    </font>
    <font>
      <u/>
      <sz val="11"/>
      <color theme="1"/>
      <name val="Arial"/>
      <family val="2"/>
      <scheme val="minor"/>
    </font>
    <font>
      <b/>
      <sz val="14"/>
      <color rgb="FFC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charset val="177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CBFF2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8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/>
    <xf numFmtId="0" fontId="0" fillId="2" borderId="5" xfId="0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5" fillId="0" borderId="0" xfId="1" applyFont="1" applyAlignment="1">
      <alignment horizontal="left"/>
    </xf>
    <xf numFmtId="0" fontId="0" fillId="2" borderId="12" xfId="0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0" fillId="2" borderId="20" xfId="0" applyFill="1" applyBorder="1"/>
    <xf numFmtId="0" fontId="1" fillId="2" borderId="21" xfId="0" applyFont="1" applyFill="1" applyBorder="1"/>
    <xf numFmtId="0" fontId="0" fillId="3" borderId="22" xfId="0" applyFill="1" applyBorder="1"/>
    <xf numFmtId="0" fontId="1" fillId="3" borderId="23" xfId="0" applyFont="1" applyFill="1" applyBorder="1"/>
    <xf numFmtId="0" fontId="1" fillId="0" borderId="14" xfId="0" applyFont="1" applyBorder="1"/>
    <xf numFmtId="0" fontId="1" fillId="3" borderId="24" xfId="0" applyFont="1" applyFill="1" applyBorder="1"/>
    <xf numFmtId="0" fontId="1" fillId="0" borderId="22" xfId="0" applyFont="1" applyBorder="1"/>
    <xf numFmtId="0" fontId="1" fillId="0" borderId="25" xfId="0" applyFont="1" applyBorder="1"/>
    <xf numFmtId="0" fontId="6" fillId="0" borderId="26" xfId="1" applyFont="1" applyBorder="1" applyAlignment="1">
      <alignment horizontal="right"/>
    </xf>
    <xf numFmtId="0" fontId="0" fillId="3" borderId="22" xfId="0" applyFill="1" applyBorder="1" applyAlignment="1">
      <alignment horizontal="right"/>
    </xf>
    <xf numFmtId="0" fontId="1" fillId="3" borderId="17" xfId="0" applyFont="1" applyFill="1" applyBorder="1"/>
    <xf numFmtId="0" fontId="1" fillId="0" borderId="18" xfId="0" applyFont="1" applyBorder="1"/>
    <xf numFmtId="0" fontId="1" fillId="3" borderId="15" xfId="0" applyFont="1" applyFill="1" applyBorder="1"/>
    <xf numFmtId="0" fontId="1" fillId="0" borderId="16" xfId="0" applyFont="1" applyBorder="1"/>
    <xf numFmtId="0" fontId="0" fillId="3" borderId="16" xfId="0" applyFill="1" applyBorder="1"/>
    <xf numFmtId="0" fontId="1" fillId="0" borderId="19" xfId="0" applyFont="1" applyBorder="1"/>
    <xf numFmtId="0" fontId="0" fillId="0" borderId="27" xfId="0" applyBorder="1" applyAlignment="1">
      <alignment horizontal="right"/>
    </xf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17" xfId="0" applyFont="1" applyBorder="1"/>
    <xf numFmtId="0" fontId="0" fillId="0" borderId="16" xfId="0" applyBorder="1" applyAlignment="1">
      <alignment horizontal="right"/>
    </xf>
    <xf numFmtId="0" fontId="0" fillId="2" borderId="31" xfId="0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2" borderId="36" xfId="0" applyFont="1" applyFill="1" applyBorder="1"/>
    <xf numFmtId="0" fontId="1" fillId="2" borderId="37" xfId="0" applyFont="1" applyFill="1" applyBorder="1"/>
    <xf numFmtId="0" fontId="0" fillId="3" borderId="22" xfId="0" applyFill="1" applyBorder="1" applyAlignment="1">
      <alignment horizontal="right" readingOrder="2"/>
    </xf>
    <xf numFmtId="0" fontId="1" fillId="0" borderId="23" xfId="0" applyFont="1" applyBorder="1"/>
    <xf numFmtId="0" fontId="0" fillId="2" borderId="9" xfId="0" applyFill="1" applyBorder="1"/>
    <xf numFmtId="1" fontId="1" fillId="0" borderId="0" xfId="0" applyNumberFormat="1" applyFont="1" applyAlignment="1">
      <alignment horizontal="right"/>
    </xf>
    <xf numFmtId="0" fontId="0" fillId="2" borderId="16" xfId="0" applyFill="1" applyBorder="1"/>
    <xf numFmtId="0" fontId="0" fillId="2" borderId="35" xfId="0" applyFill="1" applyBorder="1"/>
    <xf numFmtId="0" fontId="0" fillId="3" borderId="16" xfId="0" applyFill="1" applyBorder="1" applyAlignment="1">
      <alignment horizontal="right"/>
    </xf>
    <xf numFmtId="0" fontId="1" fillId="0" borderId="37" xfId="0" applyFont="1" applyBorder="1"/>
    <xf numFmtId="0" fontId="3" fillId="2" borderId="39" xfId="0" applyFont="1" applyFill="1" applyBorder="1"/>
    <xf numFmtId="0" fontId="3" fillId="0" borderId="16" xfId="0" applyFont="1" applyBorder="1" applyAlignment="1">
      <alignment horizontal="right"/>
    </xf>
    <xf numFmtId="0" fontId="1" fillId="0" borderId="21" xfId="0" applyFont="1" applyBorder="1"/>
    <xf numFmtId="0" fontId="1" fillId="2" borderId="40" xfId="0" applyFont="1" applyFill="1" applyBorder="1"/>
    <xf numFmtId="0" fontId="1" fillId="2" borderId="41" xfId="0" applyFont="1" applyFill="1" applyBorder="1"/>
    <xf numFmtId="0" fontId="1" fillId="2" borderId="42" xfId="0" applyFont="1" applyFill="1" applyBorder="1"/>
    <xf numFmtId="0" fontId="1" fillId="2" borderId="43" xfId="0" applyFont="1" applyFill="1" applyBorder="1"/>
    <xf numFmtId="0" fontId="1" fillId="2" borderId="38" xfId="0" applyFont="1" applyFill="1" applyBorder="1"/>
    <xf numFmtId="0" fontId="3" fillId="2" borderId="44" xfId="0" applyFont="1" applyFill="1" applyBorder="1"/>
    <xf numFmtId="0" fontId="3" fillId="2" borderId="45" xfId="0" applyFont="1" applyFill="1" applyBorder="1"/>
    <xf numFmtId="0" fontId="3" fillId="0" borderId="9" xfId="0" applyFont="1" applyBorder="1" applyAlignment="1">
      <alignment horizontal="right"/>
    </xf>
    <xf numFmtId="0" fontId="1" fillId="3" borderId="6" xfId="0" applyFont="1" applyFill="1" applyBorder="1"/>
    <xf numFmtId="0" fontId="1" fillId="0" borderId="7" xfId="0" applyFont="1" applyBorder="1"/>
    <xf numFmtId="0" fontId="1" fillId="0" borderId="11" xfId="0" applyFont="1" applyBorder="1"/>
    <xf numFmtId="0" fontId="1" fillId="3" borderId="21" xfId="0" applyFont="1" applyFill="1" applyBorder="1"/>
    <xf numFmtId="0" fontId="3" fillId="0" borderId="35" xfId="0" applyFont="1" applyBorder="1" applyAlignment="1">
      <alignment horizontal="right"/>
    </xf>
    <xf numFmtId="0" fontId="1" fillId="0" borderId="32" xfId="0" applyFont="1" applyBorder="1"/>
    <xf numFmtId="0" fontId="1" fillId="0" borderId="33" xfId="0" applyFont="1" applyBorder="1"/>
    <xf numFmtId="0" fontId="3" fillId="0" borderId="40" xfId="0" applyFont="1" applyBorder="1"/>
    <xf numFmtId="0" fontId="3" fillId="2" borderId="47" xfId="0" applyFont="1" applyFill="1" applyBorder="1"/>
    <xf numFmtId="0" fontId="1" fillId="3" borderId="30" xfId="0" applyFont="1" applyFill="1" applyBorder="1"/>
    <xf numFmtId="0" fontId="1" fillId="3" borderId="48" xfId="0" applyFont="1" applyFill="1" applyBorder="1"/>
    <xf numFmtId="0" fontId="1" fillId="0" borderId="49" xfId="0" applyFont="1" applyBorder="1"/>
    <xf numFmtId="0" fontId="1" fillId="0" borderId="50" xfId="0" applyFont="1" applyBorder="1"/>
    <xf numFmtId="0" fontId="3" fillId="2" borderId="32" xfId="0" applyFont="1" applyFill="1" applyBorder="1"/>
    <xf numFmtId="0" fontId="3" fillId="2" borderId="37" xfId="0" applyFont="1" applyFill="1" applyBorder="1"/>
    <xf numFmtId="0" fontId="3" fillId="2" borderId="6" xfId="0" applyFont="1" applyFill="1" applyBorder="1" applyAlignment="1">
      <alignment horizontal="right"/>
    </xf>
    <xf numFmtId="0" fontId="3" fillId="2" borderId="11" xfId="0" applyFont="1" applyFill="1" applyBorder="1"/>
    <xf numFmtId="0" fontId="3" fillId="2" borderId="13" xfId="0" applyFont="1" applyFill="1" applyBorder="1" applyAlignment="1">
      <alignment horizontal="right"/>
    </xf>
    <xf numFmtId="0" fontId="3" fillId="2" borderId="32" xfId="0" applyFont="1" applyFill="1" applyBorder="1" applyAlignment="1">
      <alignment horizontal="right"/>
    </xf>
    <xf numFmtId="0" fontId="3" fillId="2" borderId="16" xfId="0" applyFont="1" applyFill="1" applyBorder="1"/>
    <xf numFmtId="0" fontId="3" fillId="2" borderId="35" xfId="0" applyFont="1" applyFill="1" applyBorder="1"/>
    <xf numFmtId="0" fontId="3" fillId="2" borderId="27" xfId="0" applyFont="1" applyFill="1" applyBorder="1"/>
    <xf numFmtId="0" fontId="3" fillId="2" borderId="9" xfId="0" applyFont="1" applyFill="1" applyBorder="1"/>
    <xf numFmtId="0" fontId="0" fillId="2" borderId="6" xfId="0" applyFill="1" applyBorder="1"/>
    <xf numFmtId="0" fontId="0" fillId="2" borderId="32" xfId="0" applyFill="1" applyBorder="1"/>
    <xf numFmtId="0" fontId="2" fillId="0" borderId="0" xfId="0" applyFont="1"/>
    <xf numFmtId="0" fontId="3" fillId="0" borderId="53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 wrapText="1"/>
    </xf>
    <xf numFmtId="0" fontId="3" fillId="0" borderId="54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/>
    </xf>
    <xf numFmtId="0" fontId="3" fillId="0" borderId="55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1" fillId="3" borderId="7" xfId="0" applyFont="1" applyFill="1" applyBorder="1"/>
    <xf numFmtId="0" fontId="1" fillId="3" borderId="8" xfId="0" applyFont="1" applyFill="1" applyBorder="1"/>
    <xf numFmtId="0" fontId="1" fillId="3" borderId="11" xfId="0" applyFont="1" applyFill="1" applyBorder="1"/>
    <xf numFmtId="0" fontId="1" fillId="0" borderId="56" xfId="0" applyFont="1" applyBorder="1"/>
    <xf numFmtId="0" fontId="0" fillId="0" borderId="0" xfId="0" applyAlignment="1">
      <alignment horizontal="right"/>
    </xf>
    <xf numFmtId="0" fontId="0" fillId="5" borderId="20" xfId="0" applyFill="1" applyBorder="1" applyAlignment="1">
      <alignment horizontal="right"/>
    </xf>
    <xf numFmtId="0" fontId="1" fillId="3" borderId="18" xfId="0" applyFont="1" applyFill="1" applyBorder="1"/>
    <xf numFmtId="0" fontId="1" fillId="3" borderId="19" xfId="0" applyFont="1" applyFill="1" applyBorder="1"/>
    <xf numFmtId="0" fontId="1" fillId="0" borderId="57" xfId="0" applyFont="1" applyBorder="1"/>
    <xf numFmtId="0" fontId="0" fillId="5" borderId="20" xfId="0" applyFill="1" applyBorder="1"/>
    <xf numFmtId="0" fontId="0" fillId="5" borderId="58" xfId="0" applyFill="1" applyBorder="1" applyAlignment="1">
      <alignment horizontal="right"/>
    </xf>
    <xf numFmtId="0" fontId="1" fillId="3" borderId="59" xfId="0" applyFont="1" applyFill="1" applyBorder="1"/>
    <xf numFmtId="0" fontId="1" fillId="3" borderId="29" xfId="0" applyFont="1" applyFill="1" applyBorder="1"/>
    <xf numFmtId="0" fontId="1" fillId="3" borderId="51" xfId="0" applyFont="1" applyFill="1" applyBorder="1"/>
    <xf numFmtId="0" fontId="1" fillId="0" borderId="60" xfId="0" applyFont="1" applyBorder="1"/>
    <xf numFmtId="0" fontId="0" fillId="6" borderId="5" xfId="0" applyFill="1" applyBorder="1" applyAlignment="1">
      <alignment horizontal="right"/>
    </xf>
    <xf numFmtId="0" fontId="0" fillId="6" borderId="20" xfId="0" applyFill="1" applyBorder="1" applyAlignment="1">
      <alignment horizontal="right"/>
    </xf>
    <xf numFmtId="0" fontId="0" fillId="6" borderId="31" xfId="0" applyFill="1" applyBorder="1" applyAlignment="1">
      <alignment horizontal="right"/>
    </xf>
    <xf numFmtId="0" fontId="1" fillId="3" borderId="32" xfId="0" applyFont="1" applyFill="1" applyBorder="1"/>
    <xf numFmtId="0" fontId="1" fillId="3" borderId="33" xfId="0" applyFont="1" applyFill="1" applyBorder="1"/>
    <xf numFmtId="0" fontId="1" fillId="3" borderId="34" xfId="0" applyFont="1" applyFill="1" applyBorder="1"/>
    <xf numFmtId="0" fontId="1" fillId="3" borderId="37" xfId="0" applyFont="1" applyFill="1" applyBorder="1"/>
    <xf numFmtId="0" fontId="1" fillId="0" borderId="61" xfId="0" applyFont="1" applyBorder="1"/>
    <xf numFmtId="0" fontId="3" fillId="7" borderId="0" xfId="0" applyFont="1" applyFill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5" borderId="0" xfId="0" applyFont="1" applyFill="1"/>
    <xf numFmtId="0" fontId="3" fillId="6" borderId="0" xfId="0" applyFont="1" applyFill="1"/>
    <xf numFmtId="0" fontId="9" fillId="0" borderId="0" xfId="0" applyFont="1" applyAlignment="1">
      <alignment horizontal="center"/>
    </xf>
    <xf numFmtId="1" fontId="3" fillId="0" borderId="0" xfId="0" applyNumberFormat="1" applyFont="1"/>
    <xf numFmtId="0" fontId="10" fillId="0" borderId="0" xfId="0" applyFont="1"/>
    <xf numFmtId="2" fontId="10" fillId="0" borderId="0" xfId="0" applyNumberFormat="1" applyFont="1"/>
    <xf numFmtId="1" fontId="0" fillId="0" borderId="0" xfId="0" applyNumberFormat="1"/>
    <xf numFmtId="0" fontId="3" fillId="2" borderId="40" xfId="0" applyFont="1" applyFill="1" applyBorder="1" applyAlignment="1">
      <alignment horizontal="center" readingOrder="2"/>
    </xf>
    <xf numFmtId="0" fontId="3" fillId="2" borderId="41" xfId="0" applyFont="1" applyFill="1" applyBorder="1" applyAlignment="1">
      <alignment horizontal="center" readingOrder="2"/>
    </xf>
    <xf numFmtId="0" fontId="3" fillId="2" borderId="42" xfId="0" applyFont="1" applyFill="1" applyBorder="1" applyAlignment="1">
      <alignment horizontal="center" readingOrder="2"/>
    </xf>
    <xf numFmtId="0" fontId="3" fillId="2" borderId="43" xfId="0" applyFont="1" applyFill="1" applyBorder="1" applyAlignment="1">
      <alignment horizontal="center" readingOrder="2"/>
    </xf>
    <xf numFmtId="0" fontId="0" fillId="0" borderId="0" xfId="0" applyAlignment="1">
      <alignment horizontal="center"/>
    </xf>
    <xf numFmtId="0" fontId="0" fillId="0" borderId="0" xfId="0" applyAlignment="1">
      <alignment horizontal="center" readingOrder="2"/>
    </xf>
    <xf numFmtId="0" fontId="3" fillId="2" borderId="38" xfId="0" applyFont="1" applyFill="1" applyBorder="1" applyAlignment="1">
      <alignment horizontal="center" readingOrder="2"/>
    </xf>
    <xf numFmtId="164" fontId="3" fillId="0" borderId="22" xfId="0" applyNumberFormat="1" applyFont="1" applyBorder="1"/>
    <xf numFmtId="164" fontId="3" fillId="0" borderId="16" xfId="0" applyNumberFormat="1" applyFont="1" applyBorder="1"/>
    <xf numFmtId="164" fontId="3" fillId="0" borderId="35" xfId="0" applyNumberFormat="1" applyFont="1" applyBorder="1"/>
    <xf numFmtId="164" fontId="0" fillId="0" borderId="10" xfId="0" applyNumberFormat="1" applyBorder="1"/>
    <xf numFmtId="164" fontId="0" fillId="0" borderId="7" xfId="0" applyNumberFormat="1" applyBorder="1"/>
    <xf numFmtId="164" fontId="0" fillId="0" borderId="11" xfId="0" applyNumberFormat="1" applyBorder="1"/>
    <xf numFmtId="164" fontId="7" fillId="4" borderId="18" xfId="0" applyNumberFormat="1" applyFont="1" applyFill="1" applyBorder="1"/>
    <xf numFmtId="164" fontId="0" fillId="0" borderId="17" xfId="0" applyNumberFormat="1" applyBorder="1"/>
    <xf numFmtId="164" fontId="0" fillId="0" borderId="18" xfId="0" applyNumberFormat="1" applyBorder="1"/>
    <xf numFmtId="164" fontId="0" fillId="0" borderId="19" xfId="0" applyNumberFormat="1" applyBorder="1"/>
    <xf numFmtId="164" fontId="7" fillId="4" borderId="29" xfId="0" applyNumberFormat="1" applyFont="1" applyFill="1" applyBorder="1"/>
    <xf numFmtId="164" fontId="0" fillId="0" borderId="28" xfId="0" applyNumberFormat="1" applyBorder="1"/>
    <xf numFmtId="164" fontId="0" fillId="0" borderId="51" xfId="0" applyNumberFormat="1" applyBorder="1"/>
    <xf numFmtId="164" fontId="7" fillId="4" borderId="33" xfId="0" applyNumberFormat="1" applyFont="1" applyFill="1" applyBorder="1"/>
    <xf numFmtId="164" fontId="0" fillId="0" borderId="36" xfId="0" applyNumberFormat="1" applyBorder="1"/>
    <xf numFmtId="164" fontId="0" fillId="0" borderId="37" xfId="0" applyNumberFormat="1" applyBorder="1"/>
    <xf numFmtId="164" fontId="0" fillId="0" borderId="0" xfId="0" applyNumberFormat="1"/>
    <xf numFmtId="164" fontId="0" fillId="0" borderId="8" xfId="0" applyNumberFormat="1" applyBorder="1"/>
    <xf numFmtId="164" fontId="0" fillId="0" borderId="15" xfId="0" applyNumberFormat="1" applyBorder="1"/>
    <xf numFmtId="164" fontId="0" fillId="0" borderId="30" xfId="0" applyNumberFormat="1" applyBorder="1"/>
    <xf numFmtId="164" fontId="0" fillId="0" borderId="33" xfId="0" applyNumberFormat="1" applyBorder="1"/>
    <xf numFmtId="164" fontId="0" fillId="0" borderId="34" xfId="0" applyNumberFormat="1" applyBorder="1"/>
    <xf numFmtId="0" fontId="9" fillId="2" borderId="40" xfId="0" applyFont="1" applyFill="1" applyBorder="1" applyAlignment="1">
      <alignment horizontal="center" readingOrder="2"/>
    </xf>
    <xf numFmtId="0" fontId="3" fillId="2" borderId="47" xfId="0" applyFont="1" applyFill="1" applyBorder="1" applyAlignment="1">
      <alignment horizontal="center" readingOrder="2"/>
    </xf>
    <xf numFmtId="164" fontId="0" fillId="0" borderId="56" xfId="0" applyNumberFormat="1" applyBorder="1"/>
    <xf numFmtId="164" fontId="0" fillId="0" borderId="57" xfId="0" applyNumberFormat="1" applyBorder="1"/>
    <xf numFmtId="164" fontId="0" fillId="0" borderId="61" xfId="0" applyNumberFormat="1" applyBorder="1"/>
    <xf numFmtId="0" fontId="3" fillId="2" borderId="40" xfId="0" applyFont="1" applyFill="1" applyBorder="1"/>
    <xf numFmtId="164" fontId="0" fillId="8" borderId="10" xfId="0" applyNumberFormat="1" applyFill="1" applyBorder="1"/>
    <xf numFmtId="164" fontId="0" fillId="8" borderId="17" xfId="0" applyNumberFormat="1" applyFill="1" applyBorder="1"/>
    <xf numFmtId="0" fontId="0" fillId="8" borderId="0" xfId="0" applyFill="1" applyAlignment="1">
      <alignment horizontal="center"/>
    </xf>
    <xf numFmtId="164" fontId="0" fillId="0" borderId="60" xfId="0" applyNumberFormat="1" applyBorder="1"/>
    <xf numFmtId="164" fontId="0" fillId="0" borderId="42" xfId="0" applyNumberFormat="1" applyBorder="1"/>
    <xf numFmtId="164" fontId="0" fillId="0" borderId="38" xfId="0" applyNumberFormat="1" applyBorder="1"/>
    <xf numFmtId="164" fontId="0" fillId="0" borderId="41" xfId="0" applyNumberFormat="1" applyBorder="1"/>
    <xf numFmtId="0" fontId="0" fillId="0" borderId="0" xfId="0" applyAlignment="1">
      <alignment horizontal="right" readingOrder="2"/>
    </xf>
    <xf numFmtId="0" fontId="0" fillId="5" borderId="5" xfId="0" applyFill="1" applyBorder="1" applyAlignment="1">
      <alignment horizontal="right"/>
    </xf>
    <xf numFmtId="0" fontId="8" fillId="0" borderId="0" xfId="0" applyFont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2" borderId="46" xfId="0" applyFont="1" applyFill="1" applyBorder="1" applyAlignment="1">
      <alignment horizontal="center"/>
    </xf>
    <xf numFmtId="0" fontId="3" fillId="2" borderId="47" xfId="0" applyFont="1" applyFill="1" applyBorder="1" applyAlignment="1">
      <alignment horizontal="center"/>
    </xf>
  </cellXfs>
  <cellStyles count="2">
    <cellStyle name="Normal" xfId="0" builtinId="0"/>
    <cellStyle name="Normal 2" xfId="1" xr:uid="{8CF00D9E-1E1D-4737-9D75-646616792B99}"/>
  </cellStyles>
  <dxfs count="1">
    <dxf>
      <fill>
        <patternFill patternType="solid">
          <fgColor rgb="FFC1F0C8"/>
          <bgColor rgb="FF000000"/>
        </patternFill>
      </fill>
    </dxf>
  </dxfs>
  <tableStyles count="0" defaultTableStyle="TableStyleMedium2" defaultPivotStyle="PivotStyleLight16"/>
  <colors>
    <mruColors>
      <color rgb="FF9CBFF2"/>
      <color rgb="FF6699FF"/>
      <color rgb="FF99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ropbox/&#1514;&#1495;&#1512;&#1493;&#1497;&#1493;&#1514;%202024/&#1489;&#1493;&#1490;&#1512;&#1497;&#1501;/&#1514;&#1495;&#1512;&#1493;&#1514;%203+4%206-8.6.24/&#1488;&#1511;&#1505;&#1500;%20&#1489;&#1493;&#1490;&#1512;&#1497;&#1501;%203+4%202024.xlsx" TargetMode="External"/><Relationship Id="rId2" Type="http://schemas.openxmlformats.org/officeDocument/2006/relationships/externalLinkPath" Target="file:///C:\Users\user\Dropbox\&#1514;&#1495;&#1512;&#1493;&#1497;&#1493;&#1514;%202024\&#1489;&#1493;&#1490;&#1512;&#1497;&#1501;\&#1514;&#1495;&#1512;&#1493;&#1514;%203+4%206-8.6.24\&#1488;&#1511;&#1505;&#1500;%20&#1489;&#1493;&#1490;&#1512;&#1497;&#1501;%203+4%202024.xlsx" TargetMode="External"/><Relationship Id="rId1" Type="http://schemas.openxmlformats.org/officeDocument/2006/relationships/externalLinkPath" Target="/Users/betka/Dropbox/&#1514;&#1495;&#1512;&#1493;&#1497;&#1493;&#1514;%202024/&#1489;&#1493;&#1490;&#1512;&#1497;&#1501;/&#1514;&#1495;&#1512;&#1493;&#1514;%203+4%206-8.6.24/&#1488;&#1511;&#1505;&#1500;%20&#1489;&#1493;&#1490;&#1512;&#1497;&#1501;%203+4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ropbox/&#1514;&#1495;&#1512;&#1493;&#1497;&#1493;&#1514;%202024/&#1489;&#1493;&#1490;&#1512;&#1497;&#1501;/&#1514;&#1495;&#1512;&#1493;&#1514;%205+6%2027-29.6.24/&#1488;&#1511;&#1505;&#1500;%20&#1489;&#1493;&#1490;&#1512;&#1497;&#1501;%205+6%202024.xlsx" TargetMode="External"/><Relationship Id="rId2" Type="http://schemas.openxmlformats.org/officeDocument/2006/relationships/externalLinkPath" Target="file:///C:\Users\user\Dropbox\&#1514;&#1495;&#1512;&#1493;&#1497;&#1493;&#1514;%202024\&#1489;&#1493;&#1490;&#1512;&#1497;&#1501;\&#1514;&#1495;&#1512;&#1493;&#1514;%205+6%2027-29.6.24\&#1488;&#1511;&#1505;&#1500;%20&#1489;&#1493;&#1490;&#1512;&#1497;&#1501;%205+6%202024.xlsx" TargetMode="External"/><Relationship Id="rId1" Type="http://schemas.openxmlformats.org/officeDocument/2006/relationships/externalLinkPath" Target="/Users/betka/Dropbox/&#1514;&#1495;&#1512;&#1493;&#1497;&#1493;&#1514;%202024/&#1489;&#1493;&#1490;&#1512;&#1497;&#1501;/&#1514;&#1495;&#1512;&#1493;&#1514;%205+6%2027-29.6.24/&#1488;&#1511;&#1505;&#1500;%20&#1489;&#1493;&#1490;&#1512;&#1497;&#1501;%205+6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ropbox/&#1514;&#1495;&#1512;&#1493;&#1497;&#1493;&#1514;%202024/&#1489;&#1493;&#1490;&#1512;&#1497;&#1501;/&#1488;&#1500;&#1497;&#1508;&#1493;&#1514;%2024%20&#1490;&#1512;&#1497;&#1504;&#1508;&#1497;&#1500;&#1491;&#1505;/&#1488;&#1511;&#1505;&#1500;%20&#1489;&#1493;&#1490;&#1512;&#1497;&#1501;%209+10%20&#1495;&#1493;&#1493;&#1514;%20&#1490;&#1512;&#1497;&#1503;%20&#1508;&#1497;&#1500;&#1491;&#1505;%202024%20(user-THINK's%20conflicted%20copy%202024-10-27).xlsx" TargetMode="External"/><Relationship Id="rId2" Type="http://schemas.openxmlformats.org/officeDocument/2006/relationships/externalLinkPath" Target="file:///C:\Users\user\Dropbox\&#1514;&#1495;&#1512;&#1493;&#1497;&#1493;&#1514;%202024\&#1489;&#1493;&#1490;&#1512;&#1497;&#1501;\&#1488;&#1500;&#1497;&#1508;&#1493;&#1514;%2024%20&#1490;&#1512;&#1497;&#1504;&#1508;&#1497;&#1500;&#1491;&#1505;\&#1488;&#1511;&#1505;&#1500;%20&#1489;&#1493;&#1490;&#1512;&#1497;&#1501;%209+10%20&#1495;&#1493;&#1493;&#1514;%20&#1490;&#1512;&#1497;&#1503;%20&#1508;&#1497;&#1500;&#1491;&#1505;%202024%20(user-THINK's%20conflicted%20copy%202024-10-27).xlsx" TargetMode="External"/><Relationship Id="rId1" Type="http://schemas.openxmlformats.org/officeDocument/2006/relationships/externalLinkPath" Target="/Users/betka/Dropbox/&#1514;&#1495;&#1512;&#1493;&#1497;&#1493;&#1514;%202024/&#1489;&#1493;&#1490;&#1512;&#1497;&#1501;/&#1488;&#1500;&#1497;&#1508;&#1493;&#1514;%2024%20&#1490;&#1512;&#1497;&#1504;&#1508;&#1497;&#1500;&#1491;&#1505;/&#1488;&#1511;&#1505;&#1500;%20&#1489;&#1493;&#1490;&#1512;&#1497;&#1501;%209+10%20&#1495;&#1493;&#1493;&#1514;%20&#1490;&#1512;&#1497;&#1503;%20&#1508;&#1497;&#1500;&#1491;&#1505;%202024%20(user-THINK's%20conflicted%20copy%202024-10-27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חניאל"/>
      <sheetName val="קופה"/>
      <sheetName val="קבלות"/>
      <sheetName val="תוכנה"/>
      <sheetName val="התאחדות"/>
      <sheetName val="צ'קים"/>
      <sheetName val="נסורת"/>
      <sheetName val="לוז"/>
      <sheetName val="לוז עובדים"/>
    </sheetNames>
    <sheetDataSet>
      <sheetData sheetId="0"/>
      <sheetData sheetId="1"/>
      <sheetData sheetId="2">
        <row r="33">
          <cell r="P33">
            <v>340</v>
          </cell>
        </row>
        <row r="51">
          <cell r="P51">
            <v>175</v>
          </cell>
        </row>
        <row r="79">
          <cell r="P79">
            <v>195</v>
          </cell>
        </row>
        <row r="92">
          <cell r="P92">
            <v>5</v>
          </cell>
        </row>
        <row r="101">
          <cell r="O101">
            <v>2310</v>
          </cell>
        </row>
        <row r="103">
          <cell r="O103">
            <v>46870</v>
          </cell>
          <cell r="P103">
            <v>715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חניאל"/>
      <sheetName val="קופה"/>
      <sheetName val="קבלות"/>
      <sheetName val="תוכנה"/>
      <sheetName val="התאחדות"/>
      <sheetName val="צ'קים"/>
      <sheetName val="לוז"/>
    </sheetNames>
    <sheetDataSet>
      <sheetData sheetId="0"/>
      <sheetData sheetId="1">
        <row r="54">
          <cell r="I54">
            <v>10</v>
          </cell>
        </row>
      </sheetData>
      <sheetData sheetId="2">
        <row r="128">
          <cell r="H128">
            <v>546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חניאל"/>
      <sheetName val="קופה"/>
      <sheetName val="קבלות"/>
      <sheetName val="תוכנה"/>
      <sheetName val="נסורת"/>
      <sheetName val="התאחדות"/>
      <sheetName val="לוז"/>
    </sheetNames>
    <sheetDataSet>
      <sheetData sheetId="0"/>
      <sheetData sheetId="1"/>
      <sheetData sheetId="2">
        <row r="182">
          <cell r="I182">
            <v>287</v>
          </cell>
          <cell r="J182">
            <v>138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B731E-4C7F-4DEA-88ED-409A9AEC3F1C}">
  <dimension ref="A1"/>
  <sheetViews>
    <sheetView rightToLeft="1" workbookViewId="0">
      <selection activeCell="R25" sqref="R25"/>
    </sheetView>
  </sheetViews>
  <sheetFormatPr defaultRowHeight="13.8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E1314-F1B7-4870-9D12-802F3C5404AE}">
  <dimension ref="A1:O50"/>
  <sheetViews>
    <sheetView rightToLeft="1" topLeftCell="A22" workbookViewId="0">
      <selection activeCell="O9" sqref="O9"/>
    </sheetView>
  </sheetViews>
  <sheetFormatPr defaultRowHeight="13.8" x14ac:dyDescent="0.25"/>
  <cols>
    <col min="1" max="1" width="4.5" customWidth="1"/>
    <col min="2" max="2" width="27.69921875" customWidth="1"/>
    <col min="3" max="6" width="10.19921875" customWidth="1"/>
    <col min="8" max="8" width="11.09765625" bestFit="1" customWidth="1"/>
    <col min="9" max="10" width="11.09765625" customWidth="1"/>
    <col min="11" max="11" width="10.59765625" customWidth="1"/>
    <col min="12" max="12" width="14.296875" bestFit="1" customWidth="1"/>
    <col min="13" max="13" width="4.69921875" customWidth="1"/>
    <col min="15" max="15" width="47.59765625" bestFit="1" customWidth="1"/>
    <col min="16" max="16" width="31.19921875" bestFit="1" customWidth="1"/>
  </cols>
  <sheetData>
    <row r="1" spans="2:15" ht="17.399999999999999" x14ac:dyDescent="0.3">
      <c r="B1" s="181" t="s">
        <v>156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</row>
    <row r="2" spans="2:15" ht="23.4" thickBot="1" x14ac:dyDescent="0.45">
      <c r="B2" s="182" t="s">
        <v>157</v>
      </c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97"/>
      <c r="N2" s="97"/>
      <c r="O2" s="97"/>
    </row>
    <row r="3" spans="2:15" ht="28.2" thickBot="1" x14ac:dyDescent="0.3">
      <c r="B3" s="98" t="s">
        <v>158</v>
      </c>
      <c r="C3" s="99" t="s">
        <v>1</v>
      </c>
      <c r="D3" s="100" t="s">
        <v>159</v>
      </c>
      <c r="E3" s="100" t="s">
        <v>160</v>
      </c>
      <c r="F3" s="100" t="s">
        <v>161</v>
      </c>
      <c r="G3" s="101" t="s">
        <v>3</v>
      </c>
      <c r="H3" s="100" t="s">
        <v>162</v>
      </c>
      <c r="I3" s="100" t="s">
        <v>163</v>
      </c>
      <c r="J3" s="100" t="s">
        <v>164</v>
      </c>
      <c r="K3" s="102" t="s">
        <v>165</v>
      </c>
      <c r="L3" s="103" t="s">
        <v>166</v>
      </c>
    </row>
    <row r="4" spans="2:15" x14ac:dyDescent="0.25">
      <c r="B4" s="180" t="s">
        <v>84</v>
      </c>
      <c r="C4" s="72">
        <v>13</v>
      </c>
      <c r="D4" s="104">
        <f>(650-E4)*0.1</f>
        <v>60</v>
      </c>
      <c r="E4" s="104">
        <v>50</v>
      </c>
      <c r="F4" s="73">
        <f>G4-E4-D4</f>
        <v>140</v>
      </c>
      <c r="G4" s="105">
        <v>250</v>
      </c>
      <c r="H4" s="72">
        <f>D4*C4</f>
        <v>780</v>
      </c>
      <c r="I4" s="104">
        <f t="shared" ref="I4:I31" si="0">F4*C4</f>
        <v>1820</v>
      </c>
      <c r="J4" s="73">
        <v>0</v>
      </c>
      <c r="K4" s="106">
        <v>4000</v>
      </c>
      <c r="L4" s="107">
        <f t="shared" ref="L4:L31" si="1">C4*G4</f>
        <v>3250</v>
      </c>
      <c r="M4" s="108"/>
    </row>
    <row r="5" spans="2:15" x14ac:dyDescent="0.25">
      <c r="B5" s="109" t="s">
        <v>85</v>
      </c>
      <c r="C5" s="75">
        <v>15</v>
      </c>
      <c r="D5" s="110">
        <f>(450-E5)*0.1</f>
        <v>40</v>
      </c>
      <c r="E5" s="110">
        <v>50</v>
      </c>
      <c r="F5" s="35">
        <f>G5-E5-D5</f>
        <v>90</v>
      </c>
      <c r="G5" s="36">
        <v>180</v>
      </c>
      <c r="H5" s="75">
        <f t="shared" ref="H5:H31" si="2">D5*C5</f>
        <v>600</v>
      </c>
      <c r="I5" s="110">
        <f t="shared" si="0"/>
        <v>1350</v>
      </c>
      <c r="J5" s="35">
        <v>0</v>
      </c>
      <c r="K5" s="111">
        <v>1200</v>
      </c>
      <c r="L5" s="112">
        <f t="shared" si="1"/>
        <v>2700</v>
      </c>
      <c r="M5" s="108"/>
    </row>
    <row r="6" spans="2:15" x14ac:dyDescent="0.25">
      <c r="B6" s="109" t="s">
        <v>97</v>
      </c>
      <c r="C6" s="63">
        <v>8</v>
      </c>
      <c r="D6" s="110">
        <f>(500-E6)*0.1</f>
        <v>45</v>
      </c>
      <c r="E6" s="35">
        <v>50</v>
      </c>
      <c r="F6" s="35">
        <f>G6-E6-D6</f>
        <v>105</v>
      </c>
      <c r="G6" s="36">
        <v>200</v>
      </c>
      <c r="H6" s="75">
        <f t="shared" si="2"/>
        <v>360</v>
      </c>
      <c r="I6" s="110">
        <f t="shared" si="0"/>
        <v>840</v>
      </c>
      <c r="J6" s="35">
        <v>0</v>
      </c>
      <c r="K6" s="111">
        <v>2000</v>
      </c>
      <c r="L6" s="112">
        <f t="shared" si="1"/>
        <v>1600</v>
      </c>
      <c r="M6" s="108"/>
    </row>
    <row r="7" spans="2:15" x14ac:dyDescent="0.25">
      <c r="B7" s="109" t="s">
        <v>98</v>
      </c>
      <c r="C7" s="75">
        <v>9</v>
      </c>
      <c r="D7" s="110">
        <f>(450-E7)*0.1</f>
        <v>40</v>
      </c>
      <c r="E7" s="110">
        <v>50</v>
      </c>
      <c r="F7" s="110">
        <v>90</v>
      </c>
      <c r="G7" s="36">
        <v>180</v>
      </c>
      <c r="H7" s="75">
        <f t="shared" si="2"/>
        <v>360</v>
      </c>
      <c r="I7" s="110">
        <f t="shared" si="0"/>
        <v>810</v>
      </c>
      <c r="J7" s="110">
        <v>0</v>
      </c>
      <c r="K7" s="111">
        <v>1200</v>
      </c>
      <c r="L7" s="112">
        <f t="shared" si="1"/>
        <v>1620</v>
      </c>
      <c r="M7" s="108"/>
    </row>
    <row r="8" spans="2:15" x14ac:dyDescent="0.25">
      <c r="B8" s="109" t="s">
        <v>96</v>
      </c>
      <c r="C8" s="75">
        <v>9</v>
      </c>
      <c r="D8" s="110">
        <f>(650-E8)*0.1</f>
        <v>60</v>
      </c>
      <c r="E8" s="110">
        <v>50</v>
      </c>
      <c r="F8" s="110">
        <v>90</v>
      </c>
      <c r="G8" s="36">
        <v>200</v>
      </c>
      <c r="H8" s="75">
        <f t="shared" si="2"/>
        <v>540</v>
      </c>
      <c r="I8" s="110">
        <f t="shared" si="0"/>
        <v>810</v>
      </c>
      <c r="J8" s="110">
        <v>0</v>
      </c>
      <c r="K8" s="111">
        <v>4400</v>
      </c>
      <c r="L8" s="112">
        <f t="shared" si="1"/>
        <v>1800</v>
      </c>
      <c r="M8" s="108"/>
    </row>
    <row r="9" spans="2:15" x14ac:dyDescent="0.25">
      <c r="B9" s="109" t="s">
        <v>86</v>
      </c>
      <c r="C9" s="75">
        <v>7</v>
      </c>
      <c r="D9" s="110">
        <f>(450-E9)*0.1</f>
        <v>40</v>
      </c>
      <c r="E9" s="110">
        <v>50</v>
      </c>
      <c r="F9" s="35">
        <f>G9-E9-D9</f>
        <v>90</v>
      </c>
      <c r="G9" s="36">
        <v>180</v>
      </c>
      <c r="H9" s="75">
        <f t="shared" si="2"/>
        <v>280</v>
      </c>
      <c r="I9" s="110">
        <f t="shared" si="0"/>
        <v>630</v>
      </c>
      <c r="J9" s="35">
        <v>0</v>
      </c>
      <c r="K9" s="111">
        <v>1200</v>
      </c>
      <c r="L9" s="112">
        <f t="shared" si="1"/>
        <v>1260</v>
      </c>
      <c r="M9" s="108"/>
    </row>
    <row r="10" spans="2:15" x14ac:dyDescent="0.25">
      <c r="B10" s="109" t="s">
        <v>78</v>
      </c>
      <c r="C10" s="75">
        <v>8</v>
      </c>
      <c r="D10" s="110">
        <v>20</v>
      </c>
      <c r="E10" s="110">
        <v>0</v>
      </c>
      <c r="F10" s="110">
        <v>0</v>
      </c>
      <c r="G10" s="36">
        <v>20</v>
      </c>
      <c r="H10" s="75">
        <f t="shared" si="2"/>
        <v>160</v>
      </c>
      <c r="I10" s="110">
        <f t="shared" si="0"/>
        <v>0</v>
      </c>
      <c r="J10" s="110">
        <v>0</v>
      </c>
      <c r="K10" s="111">
        <v>0</v>
      </c>
      <c r="L10" s="112">
        <f t="shared" si="1"/>
        <v>160</v>
      </c>
    </row>
    <row r="11" spans="2:15" x14ac:dyDescent="0.25">
      <c r="B11" s="109" t="s">
        <v>81</v>
      </c>
      <c r="C11" s="63">
        <v>5</v>
      </c>
      <c r="D11" s="110">
        <v>20</v>
      </c>
      <c r="E11" s="110">
        <v>0</v>
      </c>
      <c r="F11" s="110">
        <v>0</v>
      </c>
      <c r="G11" s="36">
        <v>20</v>
      </c>
      <c r="H11" s="75">
        <f t="shared" si="2"/>
        <v>100</v>
      </c>
      <c r="I11" s="110">
        <f t="shared" si="0"/>
        <v>0</v>
      </c>
      <c r="J11" s="110">
        <v>0</v>
      </c>
      <c r="K11" s="111">
        <v>0</v>
      </c>
      <c r="L11" s="112">
        <f t="shared" si="1"/>
        <v>100</v>
      </c>
    </row>
    <row r="12" spans="2:15" x14ac:dyDescent="0.25">
      <c r="B12" s="109" t="s">
        <v>80</v>
      </c>
      <c r="C12" s="63">
        <v>6</v>
      </c>
      <c r="D12" s="110">
        <v>20</v>
      </c>
      <c r="E12" s="110">
        <v>0</v>
      </c>
      <c r="F12" s="110">
        <v>0</v>
      </c>
      <c r="G12" s="36">
        <v>20</v>
      </c>
      <c r="H12" s="75">
        <f t="shared" si="2"/>
        <v>120</v>
      </c>
      <c r="I12" s="110">
        <f t="shared" si="0"/>
        <v>0</v>
      </c>
      <c r="J12" s="110">
        <v>0</v>
      </c>
      <c r="K12" s="111">
        <v>0</v>
      </c>
      <c r="L12" s="112">
        <f t="shared" si="1"/>
        <v>120</v>
      </c>
    </row>
    <row r="13" spans="2:15" x14ac:dyDescent="0.25">
      <c r="B13" s="113" t="s">
        <v>92</v>
      </c>
      <c r="C13" s="75">
        <v>25</v>
      </c>
      <c r="D13" s="110">
        <v>35</v>
      </c>
      <c r="E13" s="110">
        <v>50</v>
      </c>
      <c r="F13" s="110">
        <v>100</v>
      </c>
      <c r="G13" s="36">
        <v>185</v>
      </c>
      <c r="H13" s="75">
        <f t="shared" si="2"/>
        <v>875</v>
      </c>
      <c r="I13" s="110">
        <f t="shared" si="0"/>
        <v>2500</v>
      </c>
      <c r="J13" s="110">
        <v>2500</v>
      </c>
      <c r="K13" s="111">
        <v>0</v>
      </c>
      <c r="L13" s="112">
        <f t="shared" si="1"/>
        <v>4625</v>
      </c>
      <c r="N13" s="7"/>
    </row>
    <row r="14" spans="2:15" x14ac:dyDescent="0.25">
      <c r="B14" s="109" t="s">
        <v>93</v>
      </c>
      <c r="C14" s="75">
        <v>16</v>
      </c>
      <c r="D14" s="110">
        <v>20</v>
      </c>
      <c r="E14" s="110">
        <v>0</v>
      </c>
      <c r="F14" s="110">
        <v>0</v>
      </c>
      <c r="G14" s="36">
        <v>20</v>
      </c>
      <c r="H14" s="75">
        <f t="shared" si="2"/>
        <v>320</v>
      </c>
      <c r="I14" s="110">
        <f t="shared" si="0"/>
        <v>0</v>
      </c>
      <c r="J14" s="110">
        <v>0</v>
      </c>
      <c r="K14" s="111">
        <v>0</v>
      </c>
      <c r="L14" s="112">
        <f t="shared" si="1"/>
        <v>320</v>
      </c>
      <c r="N14" s="7"/>
    </row>
    <row r="15" spans="2:15" x14ac:dyDescent="0.25">
      <c r="B15" s="113" t="s">
        <v>82</v>
      </c>
      <c r="C15" s="75">
        <v>15</v>
      </c>
      <c r="D15" s="110">
        <v>35</v>
      </c>
      <c r="E15" s="110">
        <v>50</v>
      </c>
      <c r="F15" s="110">
        <v>100</v>
      </c>
      <c r="G15" s="36">
        <v>185</v>
      </c>
      <c r="H15" s="75">
        <f t="shared" si="2"/>
        <v>525</v>
      </c>
      <c r="I15" s="110">
        <f t="shared" si="0"/>
        <v>1500</v>
      </c>
      <c r="J15" s="110">
        <v>1500</v>
      </c>
      <c r="K15" s="111">
        <v>0</v>
      </c>
      <c r="L15" s="112">
        <f t="shared" si="1"/>
        <v>2775</v>
      </c>
    </row>
    <row r="16" spans="2:15" x14ac:dyDescent="0.25">
      <c r="B16" s="113" t="s">
        <v>79</v>
      </c>
      <c r="C16" s="75">
        <v>9</v>
      </c>
      <c r="D16" s="110">
        <v>35</v>
      </c>
      <c r="E16" s="110">
        <v>50</v>
      </c>
      <c r="F16" s="110">
        <v>100</v>
      </c>
      <c r="G16" s="36">
        <v>185</v>
      </c>
      <c r="H16" s="75">
        <f t="shared" si="2"/>
        <v>315</v>
      </c>
      <c r="I16" s="110">
        <f t="shared" si="0"/>
        <v>900</v>
      </c>
      <c r="J16" s="110">
        <v>900</v>
      </c>
      <c r="K16" s="111">
        <v>0</v>
      </c>
      <c r="L16" s="112">
        <f t="shared" si="1"/>
        <v>1665</v>
      </c>
    </row>
    <row r="17" spans="2:14" ht="14.4" thickBot="1" x14ac:dyDescent="0.3">
      <c r="B17" s="114" t="s">
        <v>90</v>
      </c>
      <c r="C17" s="115">
        <v>10</v>
      </c>
      <c r="D17" s="116">
        <v>35</v>
      </c>
      <c r="E17" s="116">
        <v>50</v>
      </c>
      <c r="F17" s="116">
        <v>100</v>
      </c>
      <c r="G17" s="81">
        <v>185</v>
      </c>
      <c r="H17" s="115">
        <f t="shared" si="2"/>
        <v>350</v>
      </c>
      <c r="I17" s="116">
        <f t="shared" si="0"/>
        <v>1000</v>
      </c>
      <c r="J17" s="116">
        <v>1000</v>
      </c>
      <c r="K17" s="117">
        <v>0</v>
      </c>
      <c r="L17" s="118">
        <f t="shared" si="1"/>
        <v>1850</v>
      </c>
    </row>
    <row r="18" spans="2:14" x14ac:dyDescent="0.25">
      <c r="B18" s="119" t="s">
        <v>84</v>
      </c>
      <c r="C18" s="72">
        <v>17</v>
      </c>
      <c r="D18" s="104">
        <f>(650-E18)*0.1</f>
        <v>60</v>
      </c>
      <c r="E18" s="104">
        <v>50</v>
      </c>
      <c r="F18" s="104">
        <f t="shared" ref="F18:F23" si="3">G18-E18-D18</f>
        <v>140</v>
      </c>
      <c r="G18" s="105">
        <v>250</v>
      </c>
      <c r="H18" s="72">
        <f t="shared" si="2"/>
        <v>1020</v>
      </c>
      <c r="I18" s="104">
        <f t="shared" si="0"/>
        <v>2380</v>
      </c>
      <c r="J18" s="104">
        <v>0</v>
      </c>
      <c r="K18" s="106">
        <v>8000</v>
      </c>
      <c r="L18" s="107">
        <f t="shared" si="1"/>
        <v>4250</v>
      </c>
    </row>
    <row r="19" spans="2:14" x14ac:dyDescent="0.25">
      <c r="B19" s="120" t="s">
        <v>85</v>
      </c>
      <c r="C19" s="75">
        <v>9</v>
      </c>
      <c r="D19" s="110">
        <f>(450-E19)*0.1</f>
        <v>40</v>
      </c>
      <c r="E19" s="110">
        <v>50</v>
      </c>
      <c r="F19" s="110">
        <f t="shared" si="3"/>
        <v>90</v>
      </c>
      <c r="G19" s="36">
        <v>180</v>
      </c>
      <c r="H19" s="75">
        <f t="shared" si="2"/>
        <v>360</v>
      </c>
      <c r="I19" s="110">
        <f t="shared" si="0"/>
        <v>810</v>
      </c>
      <c r="J19" s="110">
        <v>0</v>
      </c>
      <c r="K19" s="111">
        <v>2000</v>
      </c>
      <c r="L19" s="112">
        <f t="shared" si="1"/>
        <v>1620</v>
      </c>
    </row>
    <row r="20" spans="2:14" x14ac:dyDescent="0.25">
      <c r="B20" s="120" t="s">
        <v>97</v>
      </c>
      <c r="C20" s="75">
        <v>7</v>
      </c>
      <c r="D20" s="110">
        <f>(500-E20)*0.1</f>
        <v>45</v>
      </c>
      <c r="E20" s="110">
        <v>50</v>
      </c>
      <c r="F20" s="35">
        <f t="shared" si="3"/>
        <v>105</v>
      </c>
      <c r="G20" s="36">
        <v>200</v>
      </c>
      <c r="H20" s="75">
        <f t="shared" si="2"/>
        <v>315</v>
      </c>
      <c r="I20" s="110">
        <f t="shared" si="0"/>
        <v>735</v>
      </c>
      <c r="J20" s="35">
        <v>0</v>
      </c>
      <c r="K20" s="111">
        <v>2000</v>
      </c>
      <c r="L20" s="112">
        <f t="shared" si="1"/>
        <v>1400</v>
      </c>
    </row>
    <row r="21" spans="2:14" x14ac:dyDescent="0.25">
      <c r="B21" s="120" t="s">
        <v>98</v>
      </c>
      <c r="C21" s="75">
        <v>10</v>
      </c>
      <c r="D21" s="110">
        <f>(550-E21)*0.1</f>
        <v>50</v>
      </c>
      <c r="E21" s="110">
        <v>50</v>
      </c>
      <c r="F21" s="35">
        <f t="shared" si="3"/>
        <v>140</v>
      </c>
      <c r="G21" s="36">
        <v>240</v>
      </c>
      <c r="H21" s="75">
        <f t="shared" si="2"/>
        <v>500</v>
      </c>
      <c r="I21" s="110">
        <f t="shared" si="0"/>
        <v>1400</v>
      </c>
      <c r="J21" s="35">
        <v>0</v>
      </c>
      <c r="K21" s="111">
        <v>4000</v>
      </c>
      <c r="L21" s="112">
        <f t="shared" si="1"/>
        <v>2400</v>
      </c>
      <c r="N21">
        <f>130*50</f>
        <v>6500</v>
      </c>
    </row>
    <row r="22" spans="2:14" x14ac:dyDescent="0.25">
      <c r="B22" s="120" t="s">
        <v>96</v>
      </c>
      <c r="C22" s="75">
        <v>9</v>
      </c>
      <c r="D22" s="110">
        <f>(650-E22)*0.1</f>
        <v>60</v>
      </c>
      <c r="E22" s="110">
        <v>50</v>
      </c>
      <c r="F22" s="35">
        <f t="shared" si="3"/>
        <v>140</v>
      </c>
      <c r="G22" s="36">
        <v>250</v>
      </c>
      <c r="H22" s="75">
        <f t="shared" si="2"/>
        <v>540</v>
      </c>
      <c r="I22" s="110">
        <f t="shared" si="0"/>
        <v>1260</v>
      </c>
      <c r="J22" s="35">
        <v>0</v>
      </c>
      <c r="K22" s="111">
        <v>8400</v>
      </c>
      <c r="L22" s="112">
        <f t="shared" si="1"/>
        <v>2250</v>
      </c>
    </row>
    <row r="23" spans="2:14" x14ac:dyDescent="0.25">
      <c r="B23" s="120" t="s">
        <v>86</v>
      </c>
      <c r="C23" s="75">
        <v>6</v>
      </c>
      <c r="D23" s="110">
        <f>(550-E23)*0.1</f>
        <v>50</v>
      </c>
      <c r="E23" s="110">
        <v>50</v>
      </c>
      <c r="F23" s="110">
        <f t="shared" si="3"/>
        <v>140</v>
      </c>
      <c r="G23" s="36">
        <v>240</v>
      </c>
      <c r="H23" s="75">
        <f t="shared" si="2"/>
        <v>300</v>
      </c>
      <c r="I23" s="110">
        <f t="shared" si="0"/>
        <v>840</v>
      </c>
      <c r="J23" s="110">
        <v>0</v>
      </c>
      <c r="K23" s="111">
        <v>4000</v>
      </c>
      <c r="L23" s="112">
        <f t="shared" si="1"/>
        <v>1440</v>
      </c>
    </row>
    <row r="24" spans="2:14" x14ac:dyDescent="0.25">
      <c r="B24" s="120" t="s">
        <v>78</v>
      </c>
      <c r="C24" s="75">
        <v>0</v>
      </c>
      <c r="D24" s="110">
        <v>20</v>
      </c>
      <c r="E24" s="110">
        <v>0</v>
      </c>
      <c r="F24" s="35">
        <v>0</v>
      </c>
      <c r="G24" s="36">
        <v>20</v>
      </c>
      <c r="H24" s="75">
        <f t="shared" si="2"/>
        <v>0</v>
      </c>
      <c r="I24" s="110">
        <f t="shared" si="0"/>
        <v>0</v>
      </c>
      <c r="J24" s="35">
        <v>0</v>
      </c>
      <c r="K24" s="111">
        <v>0</v>
      </c>
      <c r="L24" s="112">
        <f t="shared" si="1"/>
        <v>0</v>
      </c>
    </row>
    <row r="25" spans="2:14" x14ac:dyDescent="0.25">
      <c r="B25" s="120" t="s">
        <v>81</v>
      </c>
      <c r="C25" s="63">
        <v>4</v>
      </c>
      <c r="D25" s="110">
        <v>20</v>
      </c>
      <c r="E25" s="110">
        <v>0</v>
      </c>
      <c r="F25" s="110">
        <v>0</v>
      </c>
      <c r="G25" s="36">
        <v>20</v>
      </c>
      <c r="H25" s="75">
        <f t="shared" si="2"/>
        <v>80</v>
      </c>
      <c r="I25" s="110">
        <f t="shared" si="0"/>
        <v>0</v>
      </c>
      <c r="J25" s="110">
        <v>0</v>
      </c>
      <c r="K25" s="111">
        <v>0</v>
      </c>
      <c r="L25" s="112">
        <f t="shared" si="1"/>
        <v>80</v>
      </c>
    </row>
    <row r="26" spans="2:14" x14ac:dyDescent="0.25">
      <c r="B26" s="120" t="s">
        <v>80</v>
      </c>
      <c r="C26" s="63">
        <v>3</v>
      </c>
      <c r="D26" s="110">
        <v>20</v>
      </c>
      <c r="E26" s="110">
        <v>0</v>
      </c>
      <c r="F26" s="110">
        <v>0</v>
      </c>
      <c r="G26" s="36">
        <v>20</v>
      </c>
      <c r="H26" s="75">
        <f t="shared" si="2"/>
        <v>60</v>
      </c>
      <c r="I26" s="110">
        <f t="shared" si="0"/>
        <v>0</v>
      </c>
      <c r="J26" s="110">
        <v>0</v>
      </c>
      <c r="K26" s="111">
        <v>0</v>
      </c>
      <c r="L26" s="112">
        <f t="shared" si="1"/>
        <v>60</v>
      </c>
    </row>
    <row r="27" spans="2:14" x14ac:dyDescent="0.25">
      <c r="B27" s="120" t="s">
        <v>92</v>
      </c>
      <c r="C27" s="75">
        <v>26</v>
      </c>
      <c r="D27" s="110">
        <f>(500-E27)*0.1</f>
        <v>45</v>
      </c>
      <c r="E27" s="110">
        <v>50</v>
      </c>
      <c r="F27" s="35">
        <f>G27-E27-D27</f>
        <v>100</v>
      </c>
      <c r="G27" s="36">
        <v>195</v>
      </c>
      <c r="H27" s="75">
        <f t="shared" si="2"/>
        <v>1170</v>
      </c>
      <c r="I27" s="110">
        <f t="shared" si="0"/>
        <v>2600</v>
      </c>
      <c r="J27" s="35">
        <v>2600</v>
      </c>
      <c r="K27" s="111">
        <v>2000</v>
      </c>
      <c r="L27" s="112">
        <f t="shared" si="1"/>
        <v>5070</v>
      </c>
    </row>
    <row r="28" spans="2:14" x14ac:dyDescent="0.25">
      <c r="B28" s="120" t="s">
        <v>93</v>
      </c>
      <c r="C28" s="75">
        <v>18</v>
      </c>
      <c r="D28" s="110">
        <v>20</v>
      </c>
      <c r="E28" s="110">
        <v>0</v>
      </c>
      <c r="F28" s="110">
        <v>0</v>
      </c>
      <c r="G28" s="36">
        <v>20</v>
      </c>
      <c r="H28" s="75">
        <f t="shared" si="2"/>
        <v>360</v>
      </c>
      <c r="I28" s="110">
        <f t="shared" si="0"/>
        <v>0</v>
      </c>
      <c r="J28" s="110">
        <v>0</v>
      </c>
      <c r="K28" s="111">
        <v>0</v>
      </c>
      <c r="L28" s="112">
        <f t="shared" si="1"/>
        <v>360</v>
      </c>
    </row>
    <row r="29" spans="2:14" x14ac:dyDescent="0.25">
      <c r="B29" s="120" t="s">
        <v>82</v>
      </c>
      <c r="C29" s="75">
        <v>9</v>
      </c>
      <c r="D29" s="110">
        <f>(500-E29)*0.1</f>
        <v>45</v>
      </c>
      <c r="E29" s="110">
        <v>50</v>
      </c>
      <c r="F29" s="110">
        <f>G29-E29-D29</f>
        <v>100</v>
      </c>
      <c r="G29" s="36">
        <v>195</v>
      </c>
      <c r="H29" s="75">
        <f t="shared" si="2"/>
        <v>405</v>
      </c>
      <c r="I29" s="110">
        <f t="shared" si="0"/>
        <v>900</v>
      </c>
      <c r="J29" s="110">
        <v>900</v>
      </c>
      <c r="K29" s="111">
        <v>2000</v>
      </c>
      <c r="L29" s="112">
        <f t="shared" si="1"/>
        <v>1755</v>
      </c>
    </row>
    <row r="30" spans="2:14" x14ac:dyDescent="0.25">
      <c r="B30" s="120" t="s">
        <v>79</v>
      </c>
      <c r="C30" s="75">
        <v>7</v>
      </c>
      <c r="D30" s="110">
        <f>(500-E30)*0.1</f>
        <v>45</v>
      </c>
      <c r="E30" s="110">
        <v>50</v>
      </c>
      <c r="F30" s="110">
        <f>G30-E30-D30</f>
        <v>100</v>
      </c>
      <c r="G30" s="36">
        <v>195</v>
      </c>
      <c r="H30" s="75">
        <f t="shared" si="2"/>
        <v>315</v>
      </c>
      <c r="I30" s="110">
        <f t="shared" si="0"/>
        <v>700</v>
      </c>
      <c r="J30" s="110">
        <v>700</v>
      </c>
      <c r="K30" s="111">
        <v>2000</v>
      </c>
      <c r="L30" s="112">
        <f t="shared" si="1"/>
        <v>1365</v>
      </c>
    </row>
    <row r="31" spans="2:14" ht="14.4" thickBot="1" x14ac:dyDescent="0.3">
      <c r="B31" s="121" t="s">
        <v>90</v>
      </c>
      <c r="C31" s="122">
        <v>5</v>
      </c>
      <c r="D31" s="123">
        <f>(500-E31)*0.1</f>
        <v>45</v>
      </c>
      <c r="E31" s="123">
        <v>50</v>
      </c>
      <c r="F31" s="78">
        <f>G31-E31-D31</f>
        <v>100</v>
      </c>
      <c r="G31" s="124">
        <v>195</v>
      </c>
      <c r="H31" s="122">
        <f t="shared" si="2"/>
        <v>225</v>
      </c>
      <c r="I31" s="123">
        <f t="shared" si="0"/>
        <v>500</v>
      </c>
      <c r="J31" s="78">
        <v>500</v>
      </c>
      <c r="K31" s="125">
        <v>2000</v>
      </c>
      <c r="L31" s="126">
        <f t="shared" si="1"/>
        <v>975</v>
      </c>
    </row>
    <row r="32" spans="2:14" x14ac:dyDescent="0.25">
      <c r="H32">
        <f>SUM(H4:H31)</f>
        <v>11335</v>
      </c>
      <c r="I32">
        <f>SUM(I4:I31)</f>
        <v>24285</v>
      </c>
      <c r="J32">
        <f>SUM(J4:J31)</f>
        <v>10600</v>
      </c>
      <c r="K32">
        <f>SUM(K4:K31)</f>
        <v>50400</v>
      </c>
      <c r="L32" s="127">
        <f>SUM(L4:L31)</f>
        <v>46870</v>
      </c>
    </row>
    <row r="35" spans="1:13" x14ac:dyDescent="0.25">
      <c r="B35" s="7" t="s">
        <v>167</v>
      </c>
      <c r="C35" s="7">
        <f>[1]קבלות!O103+[1]קבלות!P103-[1]קבלות!O101</f>
        <v>45275</v>
      </c>
      <c r="M35" s="7"/>
    </row>
    <row r="36" spans="1:13" ht="27.6" x14ac:dyDescent="0.25">
      <c r="B36" s="128" t="s">
        <v>168</v>
      </c>
      <c r="C36" s="129">
        <f>[1]קבלות!O101</f>
        <v>2310</v>
      </c>
      <c r="M36" s="7"/>
    </row>
    <row r="37" spans="1:13" x14ac:dyDescent="0.25">
      <c r="B37" s="7" t="s">
        <v>169</v>
      </c>
      <c r="C37" s="7">
        <f>- ([1]קבלות!P92+[1]קבלות!P79+[1]קבלות!P51+[1]קבלות!P33)</f>
        <v>-715</v>
      </c>
    </row>
    <row r="38" spans="1:13" x14ac:dyDescent="0.25">
      <c r="B38" s="127" t="s">
        <v>170</v>
      </c>
      <c r="C38" s="127">
        <f>C35+C36+C37</f>
        <v>46870</v>
      </c>
    </row>
    <row r="39" spans="1:13" x14ac:dyDescent="0.25">
      <c r="C39" s="7"/>
    </row>
    <row r="40" spans="1:13" x14ac:dyDescent="0.25">
      <c r="B40" s="7" t="s">
        <v>171</v>
      </c>
      <c r="C40" s="7">
        <f>C4+C5 +C6+C8+C9+C10+C11+C14+C15+C16+C19+C20+C21+C22+C24+C27+C28+C29+C30+C31</f>
        <v>205</v>
      </c>
    </row>
    <row r="41" spans="1:13" x14ac:dyDescent="0.25">
      <c r="B41" s="127" t="s">
        <v>172</v>
      </c>
      <c r="C41" s="127">
        <f>C40*50</f>
        <v>10250</v>
      </c>
    </row>
    <row r="42" spans="1:13" x14ac:dyDescent="0.25">
      <c r="B42" s="127" t="s">
        <v>173</v>
      </c>
      <c r="C42" s="127">
        <f>H32</f>
        <v>11335</v>
      </c>
    </row>
    <row r="43" spans="1:13" x14ac:dyDescent="0.25">
      <c r="B43" s="127" t="s">
        <v>174</v>
      </c>
      <c r="C43" s="127">
        <f>I32</f>
        <v>24285</v>
      </c>
    </row>
    <row r="44" spans="1:13" x14ac:dyDescent="0.25">
      <c r="C44" s="7"/>
    </row>
    <row r="45" spans="1:13" x14ac:dyDescent="0.25">
      <c r="B45" s="130" t="s">
        <v>175</v>
      </c>
      <c r="C45" s="130">
        <f>SUM(K4:K17)</f>
        <v>14000</v>
      </c>
      <c r="D45" t="s">
        <v>176</v>
      </c>
    </row>
    <row r="46" spans="1:13" x14ac:dyDescent="0.25">
      <c r="B46" s="131" t="s">
        <v>177</v>
      </c>
      <c r="C46" s="131">
        <f>SUM(K18:K31)+3405</f>
        <v>39805</v>
      </c>
      <c r="D46" t="s">
        <v>178</v>
      </c>
    </row>
    <row r="47" spans="1:13" ht="15.6" x14ac:dyDescent="0.3">
      <c r="A47" s="132"/>
      <c r="B47" s="7" t="s">
        <v>179</v>
      </c>
      <c r="C47" s="133">
        <f>C46+C45+C43</f>
        <v>78090</v>
      </c>
    </row>
    <row r="48" spans="1:13" ht="15" x14ac:dyDescent="0.25">
      <c r="A48" s="134"/>
    </row>
    <row r="49" spans="1:3" ht="15" x14ac:dyDescent="0.25">
      <c r="A49" s="135"/>
    </row>
    <row r="50" spans="1:3" ht="15" x14ac:dyDescent="0.25">
      <c r="A50" s="135"/>
      <c r="C50" s="136"/>
    </row>
  </sheetData>
  <autoFilter ref="B3:L31" xr:uid="{F9AE1314-F1B7-4870-9D12-802F3C5404AE}">
    <sortState xmlns:xlrd2="http://schemas.microsoft.com/office/spreadsheetml/2017/richdata2" ref="B4:L32">
      <sortCondition sortBy="cellColor" ref="B3:B31" dxfId="0"/>
    </sortState>
  </autoFilter>
  <mergeCells count="2">
    <mergeCell ref="B1:L1"/>
    <mergeCell ref="B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FF9D9-1B1F-4D61-A034-61D72C43B550}">
  <sheetPr>
    <pageSetUpPr fitToPage="1"/>
  </sheetPr>
  <dimension ref="A1:I78"/>
  <sheetViews>
    <sheetView rightToLeft="1" topLeftCell="A45" workbookViewId="0">
      <selection activeCell="A63" sqref="A63"/>
    </sheetView>
  </sheetViews>
  <sheetFormatPr defaultRowHeight="13.8" x14ac:dyDescent="0.25"/>
  <cols>
    <col min="1" max="1" width="40.09765625" bestFit="1" customWidth="1"/>
  </cols>
  <sheetData>
    <row r="1" spans="1:9" ht="23.4" thickBot="1" x14ac:dyDescent="0.45">
      <c r="A1" s="183" t="s">
        <v>72</v>
      </c>
      <c r="B1" s="183"/>
      <c r="C1" s="183"/>
      <c r="D1" s="183"/>
      <c r="E1" s="183"/>
      <c r="F1" s="183"/>
      <c r="G1" s="183"/>
      <c r="H1" s="183"/>
      <c r="I1" s="1"/>
    </row>
    <row r="2" spans="1:9" ht="28.2" thickBot="1" x14ac:dyDescent="0.3">
      <c r="A2" s="3"/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  <c r="I2" s="7"/>
    </row>
    <row r="3" spans="1:9" x14ac:dyDescent="0.25">
      <c r="A3" s="8" t="s">
        <v>73</v>
      </c>
      <c r="B3" s="9">
        <v>14</v>
      </c>
      <c r="C3" s="10">
        <v>170</v>
      </c>
      <c r="D3" s="11">
        <v>0</v>
      </c>
      <c r="E3" s="12">
        <f t="shared" ref="E3:E7" si="0">C3+D3</f>
        <v>170</v>
      </c>
      <c r="F3" s="13">
        <f t="shared" ref="F3:F29" si="1">E3*B3</f>
        <v>2380</v>
      </c>
      <c r="G3" s="10">
        <f t="shared" ref="G3:G29" si="2">C3*B3</f>
        <v>2380</v>
      </c>
      <c r="H3" s="14">
        <f t="shared" ref="H3:H29" si="3">D3*B3</f>
        <v>0</v>
      </c>
      <c r="I3" s="1"/>
    </row>
    <row r="4" spans="1:9" x14ac:dyDescent="0.25">
      <c r="A4" s="16" t="s">
        <v>74</v>
      </c>
      <c r="B4" s="17">
        <v>63</v>
      </c>
      <c r="C4" s="18">
        <v>240</v>
      </c>
      <c r="D4" s="19">
        <v>0</v>
      </c>
      <c r="E4" s="20">
        <f t="shared" si="0"/>
        <v>240</v>
      </c>
      <c r="F4" s="21">
        <f t="shared" si="1"/>
        <v>15120</v>
      </c>
      <c r="G4" s="22">
        <f t="shared" si="2"/>
        <v>15120</v>
      </c>
      <c r="H4" s="23">
        <f t="shared" si="3"/>
        <v>0</v>
      </c>
      <c r="I4" s="1"/>
    </row>
    <row r="5" spans="1:9" x14ac:dyDescent="0.25">
      <c r="A5" s="16" t="s">
        <v>75</v>
      </c>
      <c r="B5" s="17">
        <v>3</v>
      </c>
      <c r="C5" s="18">
        <v>170</v>
      </c>
      <c r="D5" s="19">
        <v>0</v>
      </c>
      <c r="E5" s="20">
        <f t="shared" si="0"/>
        <v>170</v>
      </c>
      <c r="F5" s="21">
        <f t="shared" si="1"/>
        <v>510</v>
      </c>
      <c r="G5" s="22">
        <f t="shared" si="2"/>
        <v>510</v>
      </c>
      <c r="H5" s="23">
        <f t="shared" si="3"/>
        <v>0</v>
      </c>
      <c r="I5" s="1"/>
    </row>
    <row r="6" spans="1:9" x14ac:dyDescent="0.25">
      <c r="A6" s="24" t="s">
        <v>76</v>
      </c>
      <c r="B6" s="25">
        <v>13</v>
      </c>
      <c r="C6" s="22">
        <v>240</v>
      </c>
      <c r="D6" s="19">
        <v>0</v>
      </c>
      <c r="E6" s="20">
        <f t="shared" si="0"/>
        <v>240</v>
      </c>
      <c r="F6" s="21">
        <f t="shared" si="1"/>
        <v>3120</v>
      </c>
      <c r="G6" s="22">
        <f t="shared" si="2"/>
        <v>3120</v>
      </c>
      <c r="H6" s="23">
        <f t="shared" si="3"/>
        <v>0</v>
      </c>
      <c r="I6" s="1"/>
    </row>
    <row r="7" spans="1:9" ht="14.4" thickBot="1" x14ac:dyDescent="0.3">
      <c r="A7" s="46" t="s">
        <v>77</v>
      </c>
      <c r="B7" s="47">
        <v>14</v>
      </c>
      <c r="C7" s="48">
        <v>100</v>
      </c>
      <c r="D7" s="49">
        <v>0</v>
      </c>
      <c r="E7" s="50">
        <f t="shared" si="0"/>
        <v>100</v>
      </c>
      <c r="F7" s="51">
        <f t="shared" si="1"/>
        <v>1400</v>
      </c>
      <c r="G7" s="48">
        <f t="shared" si="2"/>
        <v>1400</v>
      </c>
      <c r="H7" s="52">
        <f t="shared" si="3"/>
        <v>0</v>
      </c>
      <c r="I7" s="1"/>
    </row>
    <row r="8" spans="1:9" x14ac:dyDescent="0.25">
      <c r="A8" s="26" t="s">
        <v>12</v>
      </c>
      <c r="B8" s="27">
        <v>15</v>
      </c>
      <c r="C8" s="28">
        <v>250</v>
      </c>
      <c r="D8" s="29">
        <v>0</v>
      </c>
      <c r="E8" s="30">
        <f>C8+D8</f>
        <v>250</v>
      </c>
      <c r="F8" s="27">
        <f t="shared" si="1"/>
        <v>3750</v>
      </c>
      <c r="G8" s="28">
        <f t="shared" si="2"/>
        <v>3750</v>
      </c>
      <c r="H8" s="31">
        <f t="shared" si="3"/>
        <v>0</v>
      </c>
      <c r="I8" s="1"/>
    </row>
    <row r="9" spans="1:9" x14ac:dyDescent="0.25">
      <c r="A9" s="33" t="s">
        <v>78</v>
      </c>
      <c r="B9" s="34">
        <v>2</v>
      </c>
      <c r="C9" s="35">
        <v>180</v>
      </c>
      <c r="D9" s="36">
        <v>20</v>
      </c>
      <c r="E9" s="37">
        <f>C9+D9</f>
        <v>200</v>
      </c>
      <c r="F9" s="27">
        <f t="shared" si="1"/>
        <v>400</v>
      </c>
      <c r="G9" s="28">
        <f t="shared" si="2"/>
        <v>360</v>
      </c>
      <c r="H9" s="31">
        <f t="shared" si="3"/>
        <v>40</v>
      </c>
      <c r="I9" s="1"/>
    </row>
    <row r="10" spans="1:9" x14ac:dyDescent="0.25">
      <c r="A10" s="38" t="s">
        <v>79</v>
      </c>
      <c r="B10" s="27">
        <v>6</v>
      </c>
      <c r="C10" s="35">
        <v>305</v>
      </c>
      <c r="D10" s="36">
        <v>195</v>
      </c>
      <c r="E10" s="37">
        <f t="shared" ref="E10:E23" si="4">C10+D10</f>
        <v>500</v>
      </c>
      <c r="F10" s="34">
        <f>E10*B10</f>
        <v>3000</v>
      </c>
      <c r="G10" s="35">
        <f>C10*B10</f>
        <v>1830</v>
      </c>
      <c r="H10" s="39">
        <f>D10*B10</f>
        <v>1170</v>
      </c>
      <c r="I10" s="1"/>
    </row>
    <row r="11" spans="1:9" x14ac:dyDescent="0.25">
      <c r="A11" s="40" t="s">
        <v>80</v>
      </c>
      <c r="B11" s="41">
        <v>6</v>
      </c>
      <c r="C11" s="42">
        <v>180</v>
      </c>
      <c r="D11" s="43">
        <v>20</v>
      </c>
      <c r="E11" s="37">
        <f t="shared" si="4"/>
        <v>200</v>
      </c>
      <c r="F11" s="44">
        <f>E11*B11</f>
        <v>1200</v>
      </c>
      <c r="G11" s="35">
        <f>C11*B11</f>
        <v>1080</v>
      </c>
      <c r="H11" s="39">
        <f>D11*B11</f>
        <v>120</v>
      </c>
      <c r="I11" s="1"/>
    </row>
    <row r="12" spans="1:9" x14ac:dyDescent="0.25">
      <c r="A12" s="45" t="s">
        <v>81</v>
      </c>
      <c r="B12" s="44">
        <v>4</v>
      </c>
      <c r="C12" s="35">
        <v>180</v>
      </c>
      <c r="D12" s="36">
        <v>20</v>
      </c>
      <c r="E12" s="37">
        <f t="shared" si="4"/>
        <v>200</v>
      </c>
      <c r="F12" s="34">
        <f>E12*B12</f>
        <v>800</v>
      </c>
      <c r="G12" s="35">
        <f>C12*B12</f>
        <v>720</v>
      </c>
      <c r="H12" s="39">
        <f>D12*B12</f>
        <v>80</v>
      </c>
      <c r="I12" s="1"/>
    </row>
    <row r="13" spans="1:9" x14ac:dyDescent="0.25">
      <c r="A13" s="38" t="s">
        <v>82</v>
      </c>
      <c r="B13" s="34">
        <v>5</v>
      </c>
      <c r="C13" s="35">
        <v>305</v>
      </c>
      <c r="D13" s="36">
        <v>195</v>
      </c>
      <c r="E13" s="37">
        <f t="shared" si="4"/>
        <v>500</v>
      </c>
      <c r="F13" s="27">
        <f t="shared" si="1"/>
        <v>2500</v>
      </c>
      <c r="G13" s="28">
        <f t="shared" si="2"/>
        <v>1525</v>
      </c>
      <c r="H13" s="31">
        <f t="shared" si="3"/>
        <v>975</v>
      </c>
      <c r="I13" s="1"/>
    </row>
    <row r="14" spans="1:9" x14ac:dyDescent="0.25">
      <c r="A14" s="33" t="s">
        <v>83</v>
      </c>
      <c r="B14" s="34">
        <v>8</v>
      </c>
      <c r="C14" s="35">
        <v>440</v>
      </c>
      <c r="D14" s="36">
        <v>160</v>
      </c>
      <c r="E14" s="37">
        <f t="shared" si="4"/>
        <v>600</v>
      </c>
      <c r="F14" s="27">
        <f t="shared" si="1"/>
        <v>4800</v>
      </c>
      <c r="G14" s="28">
        <f t="shared" si="2"/>
        <v>3520</v>
      </c>
      <c r="H14" s="31">
        <f t="shared" si="3"/>
        <v>1280</v>
      </c>
      <c r="I14" s="1"/>
    </row>
    <row r="15" spans="1:9" x14ac:dyDescent="0.25">
      <c r="A15" s="33" t="s">
        <v>84</v>
      </c>
      <c r="B15" s="34">
        <v>8</v>
      </c>
      <c r="C15" s="35">
        <v>400</v>
      </c>
      <c r="D15" s="36">
        <v>250</v>
      </c>
      <c r="E15" s="37">
        <f t="shared" si="4"/>
        <v>650</v>
      </c>
      <c r="F15" s="27">
        <f t="shared" si="1"/>
        <v>5200</v>
      </c>
      <c r="G15" s="28">
        <f t="shared" si="2"/>
        <v>3200</v>
      </c>
      <c r="H15" s="31">
        <f t="shared" si="3"/>
        <v>2000</v>
      </c>
      <c r="I15" s="1"/>
    </row>
    <row r="16" spans="1:9" x14ac:dyDescent="0.25">
      <c r="A16" s="33" t="s">
        <v>85</v>
      </c>
      <c r="B16" s="27">
        <v>3</v>
      </c>
      <c r="C16" s="35">
        <v>270</v>
      </c>
      <c r="D16" s="36">
        <v>180</v>
      </c>
      <c r="E16" s="37">
        <f t="shared" si="4"/>
        <v>450</v>
      </c>
      <c r="F16" s="27">
        <f t="shared" si="1"/>
        <v>1350</v>
      </c>
      <c r="G16" s="28">
        <f t="shared" si="2"/>
        <v>810</v>
      </c>
      <c r="H16" s="31">
        <f t="shared" si="3"/>
        <v>540</v>
      </c>
      <c r="I16" s="1"/>
    </row>
    <row r="17" spans="1:9" ht="14.4" thickBot="1" x14ac:dyDescent="0.3">
      <c r="A17" s="40" t="s">
        <v>86</v>
      </c>
      <c r="B17" s="41">
        <v>3</v>
      </c>
      <c r="C17" s="42">
        <v>270</v>
      </c>
      <c r="D17" s="81">
        <v>180</v>
      </c>
      <c r="E17" s="37">
        <f t="shared" si="4"/>
        <v>450</v>
      </c>
      <c r="F17" s="82">
        <f t="shared" si="1"/>
        <v>1350</v>
      </c>
      <c r="G17" s="83">
        <f t="shared" si="2"/>
        <v>810</v>
      </c>
      <c r="H17" s="84">
        <f t="shared" si="3"/>
        <v>540</v>
      </c>
      <c r="I17" s="1"/>
    </row>
    <row r="18" spans="1:9" x14ac:dyDescent="0.25">
      <c r="A18" s="8" t="s">
        <v>87</v>
      </c>
      <c r="B18" s="9">
        <v>0</v>
      </c>
      <c r="C18" s="10">
        <v>170</v>
      </c>
      <c r="D18" s="11">
        <v>0</v>
      </c>
      <c r="E18" s="12">
        <f t="shared" si="4"/>
        <v>170</v>
      </c>
      <c r="F18" s="13">
        <f t="shared" si="1"/>
        <v>0</v>
      </c>
      <c r="G18" s="10">
        <f t="shared" si="2"/>
        <v>0</v>
      </c>
      <c r="H18" s="14">
        <f t="shared" si="3"/>
        <v>0</v>
      </c>
      <c r="I18" s="1"/>
    </row>
    <row r="19" spans="1:9" x14ac:dyDescent="0.25">
      <c r="A19" s="24" t="s">
        <v>88</v>
      </c>
      <c r="B19" s="25">
        <v>8</v>
      </c>
      <c r="C19" s="22">
        <v>240</v>
      </c>
      <c r="D19" s="19">
        <v>0</v>
      </c>
      <c r="E19" s="20">
        <f t="shared" si="4"/>
        <v>240</v>
      </c>
      <c r="F19" s="21">
        <f t="shared" si="1"/>
        <v>1920</v>
      </c>
      <c r="G19" s="22">
        <f t="shared" si="2"/>
        <v>1920</v>
      </c>
      <c r="H19" s="23">
        <f t="shared" si="3"/>
        <v>0</v>
      </c>
      <c r="I19" s="1"/>
    </row>
    <row r="20" spans="1:9" x14ac:dyDescent="0.25">
      <c r="A20" s="24" t="s">
        <v>77</v>
      </c>
      <c r="B20" s="25">
        <v>0</v>
      </c>
      <c r="C20" s="22">
        <v>100</v>
      </c>
      <c r="D20" s="19">
        <v>0</v>
      </c>
      <c r="E20" s="20">
        <f t="shared" si="4"/>
        <v>100</v>
      </c>
      <c r="F20" s="21">
        <f t="shared" si="1"/>
        <v>0</v>
      </c>
      <c r="G20" s="22">
        <f t="shared" si="2"/>
        <v>0</v>
      </c>
      <c r="H20" s="23">
        <f t="shared" si="3"/>
        <v>0</v>
      </c>
      <c r="I20" s="1"/>
    </row>
    <row r="21" spans="1:9" x14ac:dyDescent="0.25">
      <c r="A21" s="24" t="s">
        <v>89</v>
      </c>
      <c r="B21" s="25">
        <v>0</v>
      </c>
      <c r="C21" s="22">
        <v>100</v>
      </c>
      <c r="D21" s="19">
        <v>0</v>
      </c>
      <c r="E21" s="20">
        <f t="shared" si="4"/>
        <v>100</v>
      </c>
      <c r="F21" s="21">
        <f t="shared" si="1"/>
        <v>0</v>
      </c>
      <c r="G21" s="22">
        <f t="shared" si="2"/>
        <v>0</v>
      </c>
      <c r="H21" s="23">
        <f t="shared" si="3"/>
        <v>0</v>
      </c>
      <c r="I21" s="1"/>
    </row>
    <row r="22" spans="1:9" x14ac:dyDescent="0.25">
      <c r="A22" s="24" t="s">
        <v>11</v>
      </c>
      <c r="B22" s="25">
        <v>8</v>
      </c>
      <c r="C22" s="22">
        <v>240</v>
      </c>
      <c r="D22" s="19">
        <v>0</v>
      </c>
      <c r="E22" s="20">
        <f t="shared" si="4"/>
        <v>240</v>
      </c>
      <c r="F22" s="21">
        <f t="shared" si="1"/>
        <v>1920</v>
      </c>
      <c r="G22" s="22">
        <f t="shared" si="2"/>
        <v>1920</v>
      </c>
      <c r="H22" s="23">
        <f t="shared" si="3"/>
        <v>0</v>
      </c>
      <c r="I22" s="1"/>
    </row>
    <row r="23" spans="1:9" ht="14.4" thickBot="1" x14ac:dyDescent="0.3">
      <c r="A23" s="46" t="s">
        <v>10</v>
      </c>
      <c r="B23" s="47">
        <v>3</v>
      </c>
      <c r="C23" s="48">
        <v>170</v>
      </c>
      <c r="D23" s="49">
        <v>0</v>
      </c>
      <c r="E23" s="50">
        <f t="shared" si="4"/>
        <v>170</v>
      </c>
      <c r="F23" s="51">
        <f t="shared" si="1"/>
        <v>510</v>
      </c>
      <c r="G23" s="48">
        <f t="shared" si="2"/>
        <v>510</v>
      </c>
      <c r="H23" s="52">
        <f t="shared" si="3"/>
        <v>0</v>
      </c>
      <c r="I23" s="1"/>
    </row>
    <row r="24" spans="1:9" x14ac:dyDescent="0.25">
      <c r="A24" s="33" t="s">
        <v>90</v>
      </c>
      <c r="B24" s="34">
        <v>8</v>
      </c>
      <c r="C24" s="35">
        <v>305</v>
      </c>
      <c r="D24" s="36">
        <v>195</v>
      </c>
      <c r="E24" s="37">
        <f>C24+D24</f>
        <v>500</v>
      </c>
      <c r="F24" s="27">
        <f>E24*B24</f>
        <v>4000</v>
      </c>
      <c r="G24" s="28">
        <f>C24*B24</f>
        <v>2440</v>
      </c>
      <c r="H24" s="31">
        <f>D24*B24</f>
        <v>1560</v>
      </c>
      <c r="I24" s="1"/>
    </row>
    <row r="25" spans="1:9" x14ac:dyDescent="0.25">
      <c r="A25" s="38" t="s">
        <v>91</v>
      </c>
      <c r="B25" s="34">
        <v>3</v>
      </c>
      <c r="C25" s="35">
        <v>440</v>
      </c>
      <c r="D25" s="36">
        <v>160</v>
      </c>
      <c r="E25" s="37">
        <f>C25+D25</f>
        <v>600</v>
      </c>
      <c r="F25" s="27">
        <f t="shared" si="1"/>
        <v>1800</v>
      </c>
      <c r="G25" s="28">
        <f t="shared" si="2"/>
        <v>1320</v>
      </c>
      <c r="H25" s="31">
        <f t="shared" si="3"/>
        <v>480</v>
      </c>
      <c r="I25" s="1"/>
    </row>
    <row r="26" spans="1:9" x14ac:dyDescent="0.25">
      <c r="A26" s="38" t="s">
        <v>92</v>
      </c>
      <c r="B26" s="34">
        <v>14</v>
      </c>
      <c r="C26" s="35">
        <v>305</v>
      </c>
      <c r="D26" s="36">
        <v>195</v>
      </c>
      <c r="E26" s="37">
        <f t="shared" ref="E26:E32" si="5">C26+D26</f>
        <v>500</v>
      </c>
      <c r="F26" s="27">
        <f t="shared" si="1"/>
        <v>7000</v>
      </c>
      <c r="G26" s="28">
        <f t="shared" si="2"/>
        <v>4270</v>
      </c>
      <c r="H26" s="31">
        <f t="shared" si="3"/>
        <v>2730</v>
      </c>
      <c r="I26" s="1"/>
    </row>
    <row r="27" spans="1:9" x14ac:dyDescent="0.25">
      <c r="A27" s="33" t="s">
        <v>93</v>
      </c>
      <c r="B27" s="34">
        <v>21</v>
      </c>
      <c r="C27" s="35">
        <v>180</v>
      </c>
      <c r="D27" s="36">
        <v>20</v>
      </c>
      <c r="E27" s="37">
        <f t="shared" si="5"/>
        <v>200</v>
      </c>
      <c r="F27" s="27">
        <f t="shared" si="1"/>
        <v>4200</v>
      </c>
      <c r="G27" s="28">
        <f t="shared" si="2"/>
        <v>3780</v>
      </c>
      <c r="H27" s="31">
        <f t="shared" si="3"/>
        <v>420</v>
      </c>
      <c r="I27" s="1"/>
    </row>
    <row r="28" spans="1:9" x14ac:dyDescent="0.25">
      <c r="A28" s="53" t="s">
        <v>94</v>
      </c>
      <c r="B28" s="27">
        <v>9</v>
      </c>
      <c r="C28" s="35">
        <v>500</v>
      </c>
      <c r="D28" s="36">
        <v>400</v>
      </c>
      <c r="E28" s="37">
        <f t="shared" si="5"/>
        <v>900</v>
      </c>
      <c r="F28" s="34">
        <f t="shared" si="1"/>
        <v>8100</v>
      </c>
      <c r="G28" s="35">
        <f t="shared" si="2"/>
        <v>4500</v>
      </c>
      <c r="H28" s="39">
        <f t="shared" si="3"/>
        <v>3600</v>
      </c>
      <c r="I28" s="1"/>
    </row>
    <row r="29" spans="1:9" x14ac:dyDescent="0.25">
      <c r="A29" s="53" t="s">
        <v>95</v>
      </c>
      <c r="B29" s="27">
        <v>16</v>
      </c>
      <c r="C29" s="35">
        <v>800</v>
      </c>
      <c r="D29" s="36">
        <v>400</v>
      </c>
      <c r="E29" s="37">
        <f t="shared" si="5"/>
        <v>1200</v>
      </c>
      <c r="F29" s="34">
        <f t="shared" si="1"/>
        <v>19200</v>
      </c>
      <c r="G29" s="35">
        <f t="shared" si="2"/>
        <v>12800</v>
      </c>
      <c r="H29" s="39">
        <f t="shared" si="3"/>
        <v>6400</v>
      </c>
      <c r="I29" s="1"/>
    </row>
    <row r="30" spans="1:9" x14ac:dyDescent="0.25">
      <c r="A30" s="33" t="s">
        <v>96</v>
      </c>
      <c r="B30" s="41">
        <v>13</v>
      </c>
      <c r="C30" s="42">
        <v>400</v>
      </c>
      <c r="D30" s="43">
        <v>250</v>
      </c>
      <c r="E30" s="37">
        <f t="shared" si="5"/>
        <v>650</v>
      </c>
      <c r="F30" s="44">
        <f>E30*B30</f>
        <v>8450</v>
      </c>
      <c r="G30" s="35">
        <f>C30*B30</f>
        <v>5200</v>
      </c>
      <c r="H30" s="39">
        <f>D30*B30</f>
        <v>3250</v>
      </c>
      <c r="I30" s="1"/>
    </row>
    <row r="31" spans="1:9" x14ac:dyDescent="0.25">
      <c r="A31" s="45" t="s">
        <v>97</v>
      </c>
      <c r="B31" s="44">
        <v>4</v>
      </c>
      <c r="C31" s="35">
        <v>300</v>
      </c>
      <c r="D31" s="36">
        <v>200</v>
      </c>
      <c r="E31" s="37">
        <f t="shared" si="5"/>
        <v>500</v>
      </c>
      <c r="F31" s="34">
        <f>E31*B31</f>
        <v>2000</v>
      </c>
      <c r="G31" s="35">
        <f>C31*B31</f>
        <v>1200</v>
      </c>
      <c r="H31" s="39">
        <f>D31*B31</f>
        <v>800</v>
      </c>
      <c r="I31" s="1"/>
    </row>
    <row r="32" spans="1:9" ht="14.4" thickBot="1" x14ac:dyDescent="0.3">
      <c r="A32" s="33" t="s">
        <v>98</v>
      </c>
      <c r="B32" s="44">
        <v>8</v>
      </c>
      <c r="C32" s="35">
        <v>270</v>
      </c>
      <c r="D32" s="36">
        <v>180</v>
      </c>
      <c r="E32" s="37">
        <f t="shared" si="5"/>
        <v>450</v>
      </c>
      <c r="F32" s="27">
        <f t="shared" ref="F32:F39" si="6">E32*B32</f>
        <v>3600</v>
      </c>
      <c r="G32" s="28">
        <f t="shared" ref="G32:G67" si="7">C32*B32</f>
        <v>2160</v>
      </c>
      <c r="H32" s="31">
        <f t="shared" ref="H32" si="8">D32*B32</f>
        <v>1440</v>
      </c>
      <c r="I32" s="1"/>
    </row>
    <row r="33" spans="1:9" x14ac:dyDescent="0.25">
      <c r="A33" s="8" t="s">
        <v>20</v>
      </c>
      <c r="B33" s="9">
        <v>0</v>
      </c>
      <c r="C33" s="10">
        <v>170</v>
      </c>
      <c r="D33" s="11">
        <v>0</v>
      </c>
      <c r="E33" s="12">
        <f>C33+D33</f>
        <v>170</v>
      </c>
      <c r="F33" s="13">
        <f>E33*B33</f>
        <v>0</v>
      </c>
      <c r="G33" s="10">
        <f>C33*B33</f>
        <v>0</v>
      </c>
      <c r="H33" s="14">
        <f>D33*B33</f>
        <v>0</v>
      </c>
      <c r="I33" s="1"/>
    </row>
    <row r="34" spans="1:9" x14ac:dyDescent="0.25">
      <c r="A34" s="24" t="s">
        <v>21</v>
      </c>
      <c r="B34" s="25">
        <v>8</v>
      </c>
      <c r="C34" s="22">
        <v>240</v>
      </c>
      <c r="D34" s="19">
        <v>0</v>
      </c>
      <c r="E34" s="20">
        <f>C34+D34</f>
        <v>240</v>
      </c>
      <c r="F34" s="21">
        <f>E34*B34</f>
        <v>1920</v>
      </c>
      <c r="G34" s="22">
        <f>C34*B34</f>
        <v>1920</v>
      </c>
      <c r="H34" s="23">
        <f>D34*B34</f>
        <v>0</v>
      </c>
      <c r="I34" s="1"/>
    </row>
    <row r="35" spans="1:9" x14ac:dyDescent="0.25">
      <c r="A35" s="24" t="s">
        <v>89</v>
      </c>
      <c r="B35" s="25">
        <v>0</v>
      </c>
      <c r="C35" s="22">
        <v>100</v>
      </c>
      <c r="D35" s="19">
        <v>0</v>
      </c>
      <c r="E35" s="20">
        <f t="shared" ref="E35:E36" si="9">C35+D35</f>
        <v>100</v>
      </c>
      <c r="F35" s="21">
        <f t="shared" ref="F35:F36" si="10">E35*B35</f>
        <v>0</v>
      </c>
      <c r="G35" s="22">
        <f t="shared" ref="G35:G36" si="11">C35*B35</f>
        <v>0</v>
      </c>
      <c r="H35" s="23">
        <f t="shared" ref="H35:H36" si="12">D35*B35</f>
        <v>0</v>
      </c>
      <c r="I35" s="1"/>
    </row>
    <row r="36" spans="1:9" x14ac:dyDescent="0.25">
      <c r="A36" s="24" t="s">
        <v>99</v>
      </c>
      <c r="B36" s="25">
        <v>0</v>
      </c>
      <c r="C36" s="22">
        <v>100</v>
      </c>
      <c r="D36" s="19">
        <v>0</v>
      </c>
      <c r="E36" s="20">
        <f t="shared" si="9"/>
        <v>100</v>
      </c>
      <c r="F36" s="21">
        <f t="shared" si="10"/>
        <v>0</v>
      </c>
      <c r="G36" s="22">
        <f t="shared" si="11"/>
        <v>0</v>
      </c>
      <c r="H36" s="23">
        <f t="shared" si="12"/>
        <v>0</v>
      </c>
      <c r="I36" s="1"/>
    </row>
    <row r="37" spans="1:9" x14ac:dyDescent="0.25">
      <c r="A37" s="24" t="s">
        <v>22</v>
      </c>
      <c r="B37" s="25">
        <v>5</v>
      </c>
      <c r="C37" s="22">
        <v>240</v>
      </c>
      <c r="D37" s="19">
        <v>0</v>
      </c>
      <c r="E37" s="20">
        <f>C37+D37</f>
        <v>240</v>
      </c>
      <c r="F37" s="21">
        <f>E37*B37</f>
        <v>1200</v>
      </c>
      <c r="G37" s="22">
        <f>C37*B37</f>
        <v>1200</v>
      </c>
      <c r="H37" s="23">
        <f>D37*B37</f>
        <v>0</v>
      </c>
      <c r="I37" s="1"/>
    </row>
    <row r="38" spans="1:9" ht="14.4" thickBot="1" x14ac:dyDescent="0.3">
      <c r="A38" s="46" t="s">
        <v>23</v>
      </c>
      <c r="B38" s="47">
        <v>0</v>
      </c>
      <c r="C38" s="48">
        <v>170</v>
      </c>
      <c r="D38" s="49">
        <v>0</v>
      </c>
      <c r="E38" s="50">
        <f>C38+D38</f>
        <v>170</v>
      </c>
      <c r="F38" s="51">
        <f>E38*B38</f>
        <v>0</v>
      </c>
      <c r="G38" s="48">
        <f>C38*B38</f>
        <v>0</v>
      </c>
      <c r="H38" s="52">
        <f>D38*B38</f>
        <v>0</v>
      </c>
      <c r="I38" s="1"/>
    </row>
    <row r="39" spans="1:9" x14ac:dyDescent="0.25">
      <c r="A39" s="59" t="s">
        <v>100</v>
      </c>
      <c r="B39" s="34">
        <v>14</v>
      </c>
      <c r="C39" s="35">
        <v>250</v>
      </c>
      <c r="D39" s="36">
        <v>0</v>
      </c>
      <c r="E39" s="37">
        <f>C39+D39</f>
        <v>250</v>
      </c>
      <c r="F39" s="27">
        <f t="shared" si="6"/>
        <v>3500</v>
      </c>
      <c r="G39" s="28">
        <f t="shared" si="7"/>
        <v>3500</v>
      </c>
      <c r="H39" s="31">
        <f>D39*B39</f>
        <v>0</v>
      </c>
      <c r="I39" s="1"/>
    </row>
    <row r="40" spans="1:9" x14ac:dyDescent="0.25">
      <c r="A40" s="59" t="s">
        <v>80</v>
      </c>
      <c r="B40" s="41">
        <v>4</v>
      </c>
      <c r="C40" s="42">
        <v>180</v>
      </c>
      <c r="D40" s="43">
        <v>20</v>
      </c>
      <c r="E40" s="37">
        <f>C40+D40</f>
        <v>200</v>
      </c>
      <c r="F40" s="44">
        <f>E40*B40</f>
        <v>800</v>
      </c>
      <c r="G40" s="35">
        <f t="shared" si="7"/>
        <v>720</v>
      </c>
      <c r="H40" s="39">
        <f t="shared" ref="H40:H67" si="13">D40*B40</f>
        <v>80</v>
      </c>
      <c r="I40" s="1"/>
    </row>
    <row r="41" spans="1:9" x14ac:dyDescent="0.25">
      <c r="A41" s="59" t="s">
        <v>81</v>
      </c>
      <c r="B41" s="41">
        <v>5</v>
      </c>
      <c r="C41" s="42">
        <v>180</v>
      </c>
      <c r="D41" s="43">
        <v>20</v>
      </c>
      <c r="E41" s="37">
        <f t="shared" ref="E41:E53" si="14">C41+D41</f>
        <v>200</v>
      </c>
      <c r="F41" s="44">
        <f t="shared" ref="F41:F62" si="15">E41*B41</f>
        <v>1000</v>
      </c>
      <c r="G41" s="35">
        <f t="shared" si="7"/>
        <v>900</v>
      </c>
      <c r="H41" s="39">
        <f t="shared" si="13"/>
        <v>100</v>
      </c>
      <c r="I41" s="1"/>
    </row>
    <row r="42" spans="1:9" x14ac:dyDescent="0.25">
      <c r="A42" s="33" t="s">
        <v>92</v>
      </c>
      <c r="B42" s="34">
        <v>15</v>
      </c>
      <c r="C42" s="35">
        <v>215</v>
      </c>
      <c r="D42" s="36">
        <v>185</v>
      </c>
      <c r="E42" s="37">
        <f t="shared" si="14"/>
        <v>400</v>
      </c>
      <c r="F42" s="27">
        <f t="shared" si="15"/>
        <v>6000</v>
      </c>
      <c r="G42" s="28">
        <f t="shared" si="7"/>
        <v>3225</v>
      </c>
      <c r="H42" s="31">
        <f t="shared" si="13"/>
        <v>2775</v>
      </c>
      <c r="I42" s="1"/>
    </row>
    <row r="43" spans="1:9" x14ac:dyDescent="0.25">
      <c r="A43" s="33" t="s">
        <v>93</v>
      </c>
      <c r="B43" s="34">
        <v>21</v>
      </c>
      <c r="C43" s="35">
        <v>180</v>
      </c>
      <c r="D43" s="36">
        <v>20</v>
      </c>
      <c r="E43" s="37">
        <f t="shared" si="14"/>
        <v>200</v>
      </c>
      <c r="F43" s="27">
        <f t="shared" si="15"/>
        <v>4200</v>
      </c>
      <c r="G43" s="28">
        <f t="shared" si="7"/>
        <v>3780</v>
      </c>
      <c r="H43" s="31">
        <f t="shared" si="13"/>
        <v>420</v>
      </c>
      <c r="I43" s="1"/>
    </row>
    <row r="44" spans="1:9" x14ac:dyDescent="0.25">
      <c r="A44" s="33" t="s">
        <v>101</v>
      </c>
      <c r="B44" s="34">
        <v>11</v>
      </c>
      <c r="C44" s="35">
        <v>1000</v>
      </c>
      <c r="D44" s="36">
        <v>400</v>
      </c>
      <c r="E44" s="37">
        <f t="shared" si="14"/>
        <v>1400</v>
      </c>
      <c r="F44" s="27">
        <f t="shared" si="15"/>
        <v>15400</v>
      </c>
      <c r="G44" s="28">
        <f t="shared" si="7"/>
        <v>11000</v>
      </c>
      <c r="H44" s="31">
        <f t="shared" si="13"/>
        <v>4400</v>
      </c>
      <c r="I44" s="1"/>
    </row>
    <row r="45" spans="1:9" x14ac:dyDescent="0.25">
      <c r="A45" s="33" t="s">
        <v>96</v>
      </c>
      <c r="B45" s="34">
        <v>8</v>
      </c>
      <c r="C45" s="35">
        <v>300</v>
      </c>
      <c r="D45" s="36">
        <v>200</v>
      </c>
      <c r="E45" s="37">
        <f t="shared" si="14"/>
        <v>500</v>
      </c>
      <c r="F45" s="27">
        <f>E45*B45</f>
        <v>4000</v>
      </c>
      <c r="G45" s="28">
        <f t="shared" si="7"/>
        <v>2400</v>
      </c>
      <c r="H45" s="31">
        <f t="shared" si="13"/>
        <v>1600</v>
      </c>
      <c r="I45" s="1"/>
    </row>
    <row r="46" spans="1:9" x14ac:dyDescent="0.25">
      <c r="A46" s="33" t="s">
        <v>97</v>
      </c>
      <c r="B46" s="34">
        <v>2</v>
      </c>
      <c r="C46" s="35">
        <v>270</v>
      </c>
      <c r="D46" s="36">
        <v>180</v>
      </c>
      <c r="E46" s="37">
        <f t="shared" si="14"/>
        <v>450</v>
      </c>
      <c r="F46" s="27">
        <f>E46*B46</f>
        <v>900</v>
      </c>
      <c r="G46" s="28">
        <f t="shared" si="7"/>
        <v>540</v>
      </c>
      <c r="H46" s="31">
        <f t="shared" si="13"/>
        <v>360</v>
      </c>
      <c r="I46" s="1"/>
    </row>
    <row r="47" spans="1:9" ht="14.4" thickBot="1" x14ac:dyDescent="0.3">
      <c r="A47" s="33" t="s">
        <v>98</v>
      </c>
      <c r="B47" s="34">
        <v>3</v>
      </c>
      <c r="C47" s="35">
        <v>270</v>
      </c>
      <c r="D47" s="36">
        <v>180</v>
      </c>
      <c r="E47" s="37">
        <f t="shared" si="14"/>
        <v>450</v>
      </c>
      <c r="F47" s="27">
        <f t="shared" si="15"/>
        <v>1350</v>
      </c>
      <c r="G47" s="28">
        <f t="shared" si="7"/>
        <v>810</v>
      </c>
      <c r="H47" s="31">
        <f t="shared" si="13"/>
        <v>540</v>
      </c>
      <c r="I47" s="1"/>
    </row>
    <row r="48" spans="1:9" x14ac:dyDescent="0.25">
      <c r="A48" s="55" t="s">
        <v>34</v>
      </c>
      <c r="B48" s="13">
        <v>0</v>
      </c>
      <c r="C48" s="10">
        <v>170</v>
      </c>
      <c r="D48" s="11">
        <v>0</v>
      </c>
      <c r="E48" s="12">
        <f t="shared" si="14"/>
        <v>170</v>
      </c>
      <c r="F48" s="13">
        <f t="shared" si="15"/>
        <v>0</v>
      </c>
      <c r="G48" s="10">
        <f t="shared" si="7"/>
        <v>0</v>
      </c>
      <c r="H48" s="14">
        <f t="shared" si="13"/>
        <v>0</v>
      </c>
      <c r="I48" s="1"/>
    </row>
    <row r="49" spans="1:9" x14ac:dyDescent="0.25">
      <c r="A49" s="57" t="s">
        <v>35</v>
      </c>
      <c r="B49" s="21">
        <v>11</v>
      </c>
      <c r="C49" s="22">
        <v>240</v>
      </c>
      <c r="D49" s="19">
        <v>0</v>
      </c>
      <c r="E49" s="20">
        <f t="shared" si="14"/>
        <v>240</v>
      </c>
      <c r="F49" s="21">
        <f t="shared" si="15"/>
        <v>2640</v>
      </c>
      <c r="G49" s="22">
        <f t="shared" si="7"/>
        <v>2640</v>
      </c>
      <c r="H49" s="23">
        <f t="shared" si="13"/>
        <v>0</v>
      </c>
      <c r="I49" s="1"/>
    </row>
    <row r="50" spans="1:9" x14ac:dyDescent="0.25">
      <c r="A50" s="57" t="s">
        <v>99</v>
      </c>
      <c r="B50" s="21">
        <v>0</v>
      </c>
      <c r="C50" s="22">
        <v>100</v>
      </c>
      <c r="D50" s="19">
        <v>0</v>
      </c>
      <c r="E50" s="20">
        <f t="shared" si="14"/>
        <v>100</v>
      </c>
      <c r="F50" s="21">
        <f t="shared" si="15"/>
        <v>0</v>
      </c>
      <c r="G50" s="22">
        <f t="shared" si="7"/>
        <v>0</v>
      </c>
      <c r="H50" s="23">
        <f t="shared" si="13"/>
        <v>0</v>
      </c>
      <c r="I50" s="1"/>
    </row>
    <row r="51" spans="1:9" x14ac:dyDescent="0.25">
      <c r="A51" s="57" t="s">
        <v>102</v>
      </c>
      <c r="B51" s="21">
        <v>0</v>
      </c>
      <c r="C51" s="22">
        <v>100</v>
      </c>
      <c r="D51" s="19">
        <v>0</v>
      </c>
      <c r="E51" s="20">
        <f t="shared" si="14"/>
        <v>100</v>
      </c>
      <c r="F51" s="21">
        <f t="shared" si="15"/>
        <v>0</v>
      </c>
      <c r="G51" s="22">
        <f t="shared" si="7"/>
        <v>0</v>
      </c>
      <c r="H51" s="23">
        <f t="shared" si="13"/>
        <v>0</v>
      </c>
      <c r="I51" s="1"/>
    </row>
    <row r="52" spans="1:9" x14ac:dyDescent="0.25">
      <c r="A52" s="57" t="s">
        <v>36</v>
      </c>
      <c r="B52" s="21">
        <v>2</v>
      </c>
      <c r="C52" s="22">
        <v>240</v>
      </c>
      <c r="D52" s="19">
        <v>0</v>
      </c>
      <c r="E52" s="20">
        <f t="shared" si="14"/>
        <v>240</v>
      </c>
      <c r="F52" s="21">
        <f t="shared" si="15"/>
        <v>480</v>
      </c>
      <c r="G52" s="22">
        <f t="shared" si="7"/>
        <v>480</v>
      </c>
      <c r="H52" s="23">
        <f t="shared" si="13"/>
        <v>0</v>
      </c>
      <c r="I52" s="1"/>
    </row>
    <row r="53" spans="1:9" ht="14.4" thickBot="1" x14ac:dyDescent="0.3">
      <c r="A53" s="58" t="s">
        <v>37</v>
      </c>
      <c r="B53" s="51">
        <v>0</v>
      </c>
      <c r="C53" s="48">
        <v>170</v>
      </c>
      <c r="D53" s="49">
        <v>0</v>
      </c>
      <c r="E53" s="50">
        <f t="shared" si="14"/>
        <v>170</v>
      </c>
      <c r="F53" s="51">
        <f t="shared" si="15"/>
        <v>0</v>
      </c>
      <c r="G53" s="48">
        <f t="shared" si="7"/>
        <v>0</v>
      </c>
      <c r="H53" s="52">
        <f t="shared" si="13"/>
        <v>0</v>
      </c>
      <c r="I53" s="1"/>
    </row>
    <row r="54" spans="1:9" x14ac:dyDescent="0.25">
      <c r="A54" s="33" t="s">
        <v>84</v>
      </c>
      <c r="B54" s="34">
        <v>13</v>
      </c>
      <c r="C54" s="35">
        <v>300</v>
      </c>
      <c r="D54" s="36">
        <v>200</v>
      </c>
      <c r="E54" s="37">
        <f>C54+D54</f>
        <v>500</v>
      </c>
      <c r="F54" s="44">
        <f>E54*B54</f>
        <v>6500</v>
      </c>
      <c r="G54" s="35">
        <f t="shared" si="7"/>
        <v>3900</v>
      </c>
      <c r="H54" s="39">
        <f t="shared" si="13"/>
        <v>2600</v>
      </c>
      <c r="I54" s="1"/>
    </row>
    <row r="55" spans="1:9" x14ac:dyDescent="0.25">
      <c r="A55" s="59" t="s">
        <v>85</v>
      </c>
      <c r="B55" s="34">
        <v>7</v>
      </c>
      <c r="C55" s="35">
        <v>270</v>
      </c>
      <c r="D55" s="36">
        <v>180</v>
      </c>
      <c r="E55" s="37">
        <f>C55+D55</f>
        <v>450</v>
      </c>
      <c r="F55" s="44">
        <f>E55*B55</f>
        <v>3150</v>
      </c>
      <c r="G55" s="35">
        <f t="shared" si="7"/>
        <v>1890</v>
      </c>
      <c r="H55" s="39">
        <f t="shared" si="13"/>
        <v>1260</v>
      </c>
      <c r="I55" s="1"/>
    </row>
    <row r="56" spans="1:9" x14ac:dyDescent="0.25">
      <c r="A56" s="59" t="s">
        <v>86</v>
      </c>
      <c r="B56" s="34">
        <v>5</v>
      </c>
      <c r="C56" s="35">
        <v>270</v>
      </c>
      <c r="D56" s="36">
        <v>180</v>
      </c>
      <c r="E56" s="37">
        <f t="shared" ref="E56:E67" si="16">C56+D56</f>
        <v>450</v>
      </c>
      <c r="F56" s="44">
        <f>E56*B56</f>
        <v>2250</v>
      </c>
      <c r="G56" s="35">
        <f t="shared" si="7"/>
        <v>1350</v>
      </c>
      <c r="H56" s="39">
        <f t="shared" si="13"/>
        <v>900</v>
      </c>
      <c r="I56" s="1"/>
    </row>
    <row r="57" spans="1:9" x14ac:dyDescent="0.25">
      <c r="A57" s="59" t="s">
        <v>103</v>
      </c>
      <c r="B57" s="41">
        <v>16</v>
      </c>
      <c r="C57" s="42">
        <v>600</v>
      </c>
      <c r="D57" s="43">
        <v>200</v>
      </c>
      <c r="E57" s="37">
        <f t="shared" si="16"/>
        <v>800</v>
      </c>
      <c r="F57" s="44">
        <f t="shared" si="15"/>
        <v>12800</v>
      </c>
      <c r="G57" s="35">
        <f t="shared" si="7"/>
        <v>9600</v>
      </c>
      <c r="H57" s="39">
        <f t="shared" si="13"/>
        <v>3200</v>
      </c>
      <c r="I57" s="1"/>
    </row>
    <row r="58" spans="1:9" x14ac:dyDescent="0.25">
      <c r="A58" s="59" t="s">
        <v>104</v>
      </c>
      <c r="B58" s="41">
        <v>15</v>
      </c>
      <c r="C58" s="42">
        <v>600</v>
      </c>
      <c r="D58" s="43">
        <v>400</v>
      </c>
      <c r="E58" s="37">
        <f t="shared" si="16"/>
        <v>1000</v>
      </c>
      <c r="F58" s="44">
        <f>E58*B58</f>
        <v>15000</v>
      </c>
      <c r="G58" s="35">
        <f t="shared" si="7"/>
        <v>9000</v>
      </c>
      <c r="H58" s="39">
        <f t="shared" si="13"/>
        <v>6000</v>
      </c>
      <c r="I58" s="1"/>
    </row>
    <row r="59" spans="1:9" x14ac:dyDescent="0.25">
      <c r="A59" s="59" t="s">
        <v>105</v>
      </c>
      <c r="B59" s="41">
        <v>3</v>
      </c>
      <c r="C59" s="42">
        <v>100</v>
      </c>
      <c r="D59" s="43">
        <v>100</v>
      </c>
      <c r="E59" s="37">
        <f t="shared" si="16"/>
        <v>200</v>
      </c>
      <c r="F59" s="44">
        <f>E59*B59</f>
        <v>600</v>
      </c>
      <c r="G59" s="35">
        <f t="shared" si="7"/>
        <v>300</v>
      </c>
      <c r="H59" s="39">
        <f t="shared" si="13"/>
        <v>300</v>
      </c>
      <c r="I59" s="1"/>
    </row>
    <row r="60" spans="1:9" x14ac:dyDescent="0.25">
      <c r="A60" s="59" t="s">
        <v>106</v>
      </c>
      <c r="B60" s="41">
        <v>4</v>
      </c>
      <c r="C60" s="42">
        <v>0</v>
      </c>
      <c r="D60" s="43">
        <v>750</v>
      </c>
      <c r="E60" s="37">
        <f t="shared" si="16"/>
        <v>750</v>
      </c>
      <c r="F60" s="27">
        <f t="shared" ref="F60:F61" si="17">E60*B60</f>
        <v>3000</v>
      </c>
      <c r="G60" s="28">
        <f t="shared" si="7"/>
        <v>0</v>
      </c>
      <c r="H60" s="31">
        <f t="shared" si="13"/>
        <v>3000</v>
      </c>
      <c r="I60" s="1"/>
    </row>
    <row r="61" spans="1:9" x14ac:dyDescent="0.25">
      <c r="A61" s="59" t="s">
        <v>107</v>
      </c>
      <c r="B61" s="41">
        <v>22</v>
      </c>
      <c r="C61" s="42">
        <v>1000</v>
      </c>
      <c r="D61" s="43">
        <v>400</v>
      </c>
      <c r="E61" s="37">
        <f t="shared" si="16"/>
        <v>1400</v>
      </c>
      <c r="F61" s="27">
        <f t="shared" si="17"/>
        <v>30800</v>
      </c>
      <c r="G61" s="28">
        <f t="shared" si="7"/>
        <v>22000</v>
      </c>
      <c r="H61" s="31">
        <f t="shared" si="13"/>
        <v>8800</v>
      </c>
      <c r="I61" s="1"/>
    </row>
    <row r="62" spans="1:9" x14ac:dyDescent="0.25">
      <c r="A62" s="59" t="s">
        <v>78</v>
      </c>
      <c r="B62" s="34">
        <v>2</v>
      </c>
      <c r="C62" s="35">
        <v>180</v>
      </c>
      <c r="D62" s="36">
        <v>20</v>
      </c>
      <c r="E62" s="37">
        <f t="shared" si="16"/>
        <v>200</v>
      </c>
      <c r="F62" s="27">
        <f t="shared" si="15"/>
        <v>400</v>
      </c>
      <c r="G62" s="28">
        <f t="shared" si="7"/>
        <v>360</v>
      </c>
      <c r="H62" s="31">
        <f t="shared" si="13"/>
        <v>40</v>
      </c>
      <c r="I62" s="1"/>
    </row>
    <row r="63" spans="1:9" x14ac:dyDescent="0.25">
      <c r="A63" s="59" t="s">
        <v>90</v>
      </c>
      <c r="B63" s="34">
        <v>4</v>
      </c>
      <c r="C63" s="35">
        <v>215</v>
      </c>
      <c r="D63" s="36">
        <v>185</v>
      </c>
      <c r="E63" s="37">
        <f t="shared" si="16"/>
        <v>400</v>
      </c>
      <c r="F63" s="27">
        <f>E63*B63</f>
        <v>1600</v>
      </c>
      <c r="G63" s="28">
        <f t="shared" si="7"/>
        <v>860</v>
      </c>
      <c r="H63" s="31">
        <f t="shared" si="13"/>
        <v>740</v>
      </c>
      <c r="I63" s="2"/>
    </row>
    <row r="64" spans="1:9" x14ac:dyDescent="0.25">
      <c r="A64" s="59" t="s">
        <v>79</v>
      </c>
      <c r="B64" s="34">
        <v>0</v>
      </c>
      <c r="C64" s="35">
        <v>215</v>
      </c>
      <c r="D64" s="36">
        <v>185</v>
      </c>
      <c r="E64" s="37">
        <f t="shared" si="16"/>
        <v>400</v>
      </c>
      <c r="F64" s="44">
        <f>E64*B64</f>
        <v>0</v>
      </c>
      <c r="G64" s="35">
        <f t="shared" si="7"/>
        <v>0</v>
      </c>
      <c r="H64" s="39">
        <f t="shared" si="13"/>
        <v>0</v>
      </c>
      <c r="I64" s="2"/>
    </row>
    <row r="65" spans="1:9" x14ac:dyDescent="0.25">
      <c r="A65" s="59" t="s">
        <v>82</v>
      </c>
      <c r="B65" s="34">
        <v>0</v>
      </c>
      <c r="C65" s="35">
        <v>215</v>
      </c>
      <c r="D65" s="36">
        <v>185</v>
      </c>
      <c r="E65" s="37">
        <f t="shared" si="16"/>
        <v>400</v>
      </c>
      <c r="F65" s="44">
        <f t="shared" ref="F65:F67" si="18">E65*B65</f>
        <v>0</v>
      </c>
      <c r="G65" s="35">
        <f t="shared" si="7"/>
        <v>0</v>
      </c>
      <c r="H65" s="39">
        <f t="shared" si="13"/>
        <v>0</v>
      </c>
      <c r="I65" s="2"/>
    </row>
    <row r="66" spans="1:9" ht="14.4" thickBot="1" x14ac:dyDescent="0.3">
      <c r="A66" s="62" t="s">
        <v>60</v>
      </c>
      <c r="B66" s="63">
        <v>3</v>
      </c>
      <c r="C66" s="35">
        <v>50</v>
      </c>
      <c r="D66" s="35">
        <v>0</v>
      </c>
      <c r="E66" s="37">
        <f t="shared" si="16"/>
        <v>50</v>
      </c>
      <c r="F66" s="44">
        <f t="shared" si="18"/>
        <v>150</v>
      </c>
      <c r="G66" s="35">
        <f t="shared" si="7"/>
        <v>150</v>
      </c>
      <c r="H66" s="39">
        <f t="shared" si="13"/>
        <v>0</v>
      </c>
      <c r="I66" s="2"/>
    </row>
    <row r="67" spans="1:9" ht="14.4" thickBot="1" x14ac:dyDescent="0.3">
      <c r="A67" s="64" t="s">
        <v>61</v>
      </c>
      <c r="B67" s="65">
        <v>33</v>
      </c>
      <c r="C67" s="66">
        <v>50</v>
      </c>
      <c r="D67" s="67">
        <v>0</v>
      </c>
      <c r="E67" s="64">
        <f t="shared" si="16"/>
        <v>50</v>
      </c>
      <c r="F67" s="65">
        <f t="shared" si="18"/>
        <v>1650</v>
      </c>
      <c r="G67" s="66">
        <f t="shared" si="7"/>
        <v>1650</v>
      </c>
      <c r="H67" s="68">
        <f t="shared" si="13"/>
        <v>0</v>
      </c>
      <c r="I67" s="2"/>
    </row>
    <row r="68" spans="1:9" ht="14.4" thickBot="1" x14ac:dyDescent="0.3">
      <c r="A68" s="2"/>
      <c r="B68" s="61">
        <f>SUM(B3:B67)</f>
        <v>518</v>
      </c>
      <c r="C68" s="7"/>
      <c r="D68" s="7"/>
      <c r="E68" s="7"/>
      <c r="F68" s="69">
        <f>SUM(F3:F67)</f>
        <v>230870</v>
      </c>
      <c r="G68" s="61">
        <f>SUM(G3:G67)</f>
        <v>166330</v>
      </c>
      <c r="H68" s="70">
        <f>SUM(H3:H67)</f>
        <v>64540</v>
      </c>
      <c r="I68" s="1"/>
    </row>
    <row r="69" spans="1:9" ht="14.4" thickBot="1" x14ac:dyDescent="0.3">
      <c r="A69" s="2"/>
      <c r="B69" s="1"/>
      <c r="C69" s="1"/>
      <c r="D69" s="1"/>
      <c r="E69" s="1"/>
      <c r="F69" s="1"/>
      <c r="G69" s="1"/>
      <c r="H69" s="1" t="s">
        <v>62</v>
      </c>
      <c r="I69" s="1"/>
    </row>
    <row r="70" spans="1:9" x14ac:dyDescent="0.25">
      <c r="A70" s="71" t="s">
        <v>63</v>
      </c>
      <c r="B70" s="72">
        <v>22</v>
      </c>
      <c r="C70" s="73">
        <v>50</v>
      </c>
      <c r="D70" s="73">
        <v>0</v>
      </c>
      <c r="E70" s="73">
        <f t="shared" ref="E70:E73" si="19">C70+D70</f>
        <v>50</v>
      </c>
      <c r="F70" s="73">
        <f t="shared" ref="F70:F73" si="20">B70*C70</f>
        <v>1100</v>
      </c>
      <c r="G70" s="73">
        <f>F70</f>
        <v>1100</v>
      </c>
      <c r="H70" s="74">
        <f t="shared" ref="H70:H73" si="21">D70*B70</f>
        <v>0</v>
      </c>
      <c r="I70" s="1"/>
    </row>
    <row r="71" spans="1:9" x14ac:dyDescent="0.25">
      <c r="A71" s="62" t="s">
        <v>64</v>
      </c>
      <c r="B71" s="75">
        <v>1</v>
      </c>
      <c r="C71" s="35">
        <v>90197.5</v>
      </c>
      <c r="D71" s="35">
        <v>0</v>
      </c>
      <c r="E71" s="35">
        <f t="shared" si="19"/>
        <v>90197.5</v>
      </c>
      <c r="F71" s="35">
        <f t="shared" si="20"/>
        <v>90197.5</v>
      </c>
      <c r="G71" s="35">
        <f>F71</f>
        <v>90197.5</v>
      </c>
      <c r="H71" s="39">
        <f t="shared" si="21"/>
        <v>0</v>
      </c>
      <c r="I71" s="1"/>
    </row>
    <row r="72" spans="1:9" x14ac:dyDescent="0.25">
      <c r="A72" s="62" t="s">
        <v>108</v>
      </c>
      <c r="B72" s="75">
        <f>[2]קבלות!H128+[2]קופה!I54</f>
        <v>556</v>
      </c>
      <c r="C72" s="35">
        <v>30</v>
      </c>
      <c r="D72" s="35">
        <v>0</v>
      </c>
      <c r="E72" s="35">
        <f t="shared" si="19"/>
        <v>30</v>
      </c>
      <c r="F72" s="35">
        <f t="shared" si="20"/>
        <v>16680</v>
      </c>
      <c r="G72" s="35">
        <f t="shared" ref="G72:G73" si="22">F72</f>
        <v>16680</v>
      </c>
      <c r="H72" s="39">
        <f t="shared" si="21"/>
        <v>0</v>
      </c>
      <c r="I72" s="1"/>
    </row>
    <row r="73" spans="1:9" ht="14.4" thickBot="1" x14ac:dyDescent="0.3">
      <c r="A73" s="76"/>
      <c r="B73" s="77"/>
      <c r="C73" s="78">
        <v>20</v>
      </c>
      <c r="D73" s="78">
        <v>0</v>
      </c>
      <c r="E73" s="78">
        <f t="shared" si="19"/>
        <v>20</v>
      </c>
      <c r="F73" s="78">
        <f t="shared" si="20"/>
        <v>0</v>
      </c>
      <c r="G73" s="78">
        <f t="shared" si="22"/>
        <v>0</v>
      </c>
      <c r="H73" s="60">
        <f t="shared" si="21"/>
        <v>0</v>
      </c>
      <c r="I73" s="1"/>
    </row>
    <row r="74" spans="1:9" ht="14.4" thickBot="1" x14ac:dyDescent="0.3">
      <c r="A74" s="2"/>
      <c r="B74" s="1"/>
      <c r="C74" s="1"/>
      <c r="D74" s="1"/>
      <c r="E74" s="1"/>
      <c r="F74" s="1"/>
      <c r="G74" s="61">
        <f>SUM(G70:G73)</f>
        <v>107977.5</v>
      </c>
      <c r="H74" s="70">
        <f>SUM(H70:H73)</f>
        <v>0</v>
      </c>
      <c r="I74" s="1"/>
    </row>
    <row r="75" spans="1:9" ht="14.4" thickBot="1" x14ac:dyDescent="0.3">
      <c r="A75" s="87" t="s">
        <v>109</v>
      </c>
      <c r="B75" s="88">
        <f>SUM(B8:B17)+SUM(B24:B32)+SUM(B39:B47)+SUM(B54:B66)</f>
        <v>333</v>
      </c>
      <c r="C75" s="1"/>
      <c r="D75" s="1"/>
      <c r="E75" s="1"/>
      <c r="F75" s="1"/>
      <c r="G75" s="7"/>
      <c r="H75" s="7"/>
      <c r="I75" s="1"/>
    </row>
    <row r="76" spans="1:9" ht="14.4" thickBot="1" x14ac:dyDescent="0.3">
      <c r="A76" s="85" t="s">
        <v>110</v>
      </c>
      <c r="B76" s="86">
        <f>SUM(B3:B7)+SUM(B18:B23)+SUM(B33:B38)+SUM(B48:B53)</f>
        <v>152</v>
      </c>
      <c r="C76" s="7"/>
      <c r="D76" s="7"/>
      <c r="E76" s="184" t="s">
        <v>67</v>
      </c>
      <c r="F76" s="185"/>
      <c r="G76" s="79">
        <f>G68+G74</f>
        <v>274307.5</v>
      </c>
      <c r="H76" s="79">
        <f>H68+H74</f>
        <v>64540</v>
      </c>
      <c r="I76" s="1"/>
    </row>
    <row r="77" spans="1:9" x14ac:dyDescent="0.25">
      <c r="A77" s="89" t="s">
        <v>111</v>
      </c>
      <c r="B77" s="88">
        <f>SUM(G8:G17)+SUM(G24:G32)+SUM(G39:G47)+SUM(G54:G66)</f>
        <v>131560</v>
      </c>
      <c r="C77" s="1"/>
      <c r="D77" s="1"/>
      <c r="E77" s="1"/>
      <c r="F77" s="1"/>
      <c r="G77" s="1"/>
      <c r="H77" s="1"/>
      <c r="I77" s="1"/>
    </row>
    <row r="78" spans="1:9" ht="14.4" thickBot="1" x14ac:dyDescent="0.3">
      <c r="A78" s="90" t="s">
        <v>69</v>
      </c>
      <c r="B78" s="86">
        <f>SUM(G3:G7)+SUM(G18:G23)+SUM(G33:G38)+SUM(G48:G53)</f>
        <v>33120</v>
      </c>
    </row>
  </sheetData>
  <mergeCells count="2">
    <mergeCell ref="A1:H1"/>
    <mergeCell ref="E76:F76"/>
  </mergeCells>
  <pageMargins left="0.7" right="0.7" top="0.2" bottom="0.12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3780E-9CB9-43F8-A687-1AA50BB84020}">
  <dimension ref="A1:L69"/>
  <sheetViews>
    <sheetView rightToLeft="1" topLeftCell="A46" workbookViewId="0">
      <selection activeCell="B54" sqref="B54"/>
    </sheetView>
  </sheetViews>
  <sheetFormatPr defaultRowHeight="13.8" x14ac:dyDescent="0.25"/>
  <cols>
    <col min="1" max="1" width="30.59765625" bestFit="1" customWidth="1"/>
    <col min="15" max="15" width="24.59765625" bestFit="1" customWidth="1"/>
  </cols>
  <sheetData>
    <row r="1" spans="1:12" ht="23.4" thickBot="1" x14ac:dyDescent="0.45">
      <c r="A1" s="183" t="s">
        <v>128</v>
      </c>
      <c r="B1" s="183"/>
      <c r="C1" s="183"/>
      <c r="D1" s="183"/>
      <c r="E1" s="183"/>
      <c r="F1" s="183"/>
      <c r="G1" s="183"/>
      <c r="H1" s="183"/>
      <c r="I1" s="1"/>
    </row>
    <row r="2" spans="1:12" ht="28.2" thickBot="1" x14ac:dyDescent="0.3">
      <c r="A2" s="3"/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  <c r="I2" s="7"/>
    </row>
    <row r="3" spans="1:12" x14ac:dyDescent="0.25">
      <c r="A3" s="8" t="s">
        <v>8</v>
      </c>
      <c r="B3" s="9">
        <v>26</v>
      </c>
      <c r="C3" s="10">
        <v>170</v>
      </c>
      <c r="D3" s="11">
        <v>0</v>
      </c>
      <c r="E3" s="12">
        <f t="shared" ref="E3:E6" si="0">C3+D3</f>
        <v>170</v>
      </c>
      <c r="F3" s="13">
        <f t="shared" ref="F3:F40" si="1">E3*B3</f>
        <v>4420</v>
      </c>
      <c r="G3" s="10">
        <f t="shared" ref="G3:G40" si="2">C3*B3</f>
        <v>4420</v>
      </c>
      <c r="H3" s="14">
        <f t="shared" ref="H3:H40" si="3">D3*B3</f>
        <v>0</v>
      </c>
      <c r="I3" s="1"/>
    </row>
    <row r="4" spans="1:12" x14ac:dyDescent="0.25">
      <c r="A4" s="16" t="s">
        <v>9</v>
      </c>
      <c r="B4" s="17">
        <v>60</v>
      </c>
      <c r="C4" s="18">
        <v>240</v>
      </c>
      <c r="D4" s="19">
        <v>0</v>
      </c>
      <c r="E4" s="20">
        <f t="shared" si="0"/>
        <v>240</v>
      </c>
      <c r="F4" s="21">
        <f t="shared" si="1"/>
        <v>14400</v>
      </c>
      <c r="G4" s="22">
        <f t="shared" si="2"/>
        <v>14400</v>
      </c>
      <c r="H4" s="23">
        <f t="shared" si="3"/>
        <v>0</v>
      </c>
      <c r="I4" s="1"/>
    </row>
    <row r="5" spans="1:12" x14ac:dyDescent="0.25">
      <c r="A5" s="16" t="s">
        <v>10</v>
      </c>
      <c r="B5" s="17">
        <v>1</v>
      </c>
      <c r="C5" s="18">
        <v>170</v>
      </c>
      <c r="D5" s="19">
        <v>0</v>
      </c>
      <c r="E5" s="20">
        <f t="shared" si="0"/>
        <v>170</v>
      </c>
      <c r="F5" s="21">
        <f t="shared" si="1"/>
        <v>170</v>
      </c>
      <c r="G5" s="22">
        <f t="shared" si="2"/>
        <v>170</v>
      </c>
      <c r="H5" s="23">
        <f t="shared" si="3"/>
        <v>0</v>
      </c>
      <c r="I5" s="1"/>
    </row>
    <row r="6" spans="1:12" x14ac:dyDescent="0.25">
      <c r="A6" s="24" t="s">
        <v>11</v>
      </c>
      <c r="B6" s="25">
        <v>1</v>
      </c>
      <c r="C6" s="22">
        <v>240</v>
      </c>
      <c r="D6" s="19">
        <v>0</v>
      </c>
      <c r="E6" s="20">
        <f t="shared" si="0"/>
        <v>240</v>
      </c>
      <c r="F6" s="21">
        <f t="shared" si="1"/>
        <v>240</v>
      </c>
      <c r="G6" s="22">
        <f t="shared" si="2"/>
        <v>240</v>
      </c>
      <c r="H6" s="23">
        <f t="shared" si="3"/>
        <v>0</v>
      </c>
      <c r="I6" s="1"/>
      <c r="L6">
        <f>250*4+2000*4+1000*4+1250*4</f>
        <v>18000</v>
      </c>
    </row>
    <row r="7" spans="1:12" x14ac:dyDescent="0.25">
      <c r="A7" s="26" t="s">
        <v>12</v>
      </c>
      <c r="B7" s="27">
        <v>17</v>
      </c>
      <c r="C7" s="28">
        <f>E7-D7</f>
        <v>250</v>
      </c>
      <c r="D7" s="29">
        <v>0</v>
      </c>
      <c r="E7" s="30">
        <v>250</v>
      </c>
      <c r="F7" s="27">
        <f t="shared" si="1"/>
        <v>4250</v>
      </c>
      <c r="G7" s="28">
        <f t="shared" si="2"/>
        <v>4250</v>
      </c>
      <c r="H7" s="31">
        <f t="shared" si="3"/>
        <v>0</v>
      </c>
      <c r="I7" s="1"/>
    </row>
    <row r="8" spans="1:12" x14ac:dyDescent="0.25">
      <c r="A8" s="33" t="s">
        <v>27</v>
      </c>
      <c r="B8" s="34">
        <v>2</v>
      </c>
      <c r="C8" s="28">
        <f t="shared" ref="C8:C14" si="4">E8-D8</f>
        <v>181</v>
      </c>
      <c r="D8" s="36">
        <v>19</v>
      </c>
      <c r="E8" s="37">
        <v>200</v>
      </c>
      <c r="F8" s="27">
        <f>E8*B8</f>
        <v>400</v>
      </c>
      <c r="G8" s="28">
        <f>C8*B8</f>
        <v>362</v>
      </c>
      <c r="H8" s="31">
        <f>D8*B8</f>
        <v>38</v>
      </c>
      <c r="I8" s="1"/>
    </row>
    <row r="9" spans="1:12" x14ac:dyDescent="0.25">
      <c r="A9" s="33" t="s">
        <v>19</v>
      </c>
      <c r="B9" s="34">
        <v>5</v>
      </c>
      <c r="C9" s="28">
        <f t="shared" si="4"/>
        <v>227</v>
      </c>
      <c r="D9" s="36">
        <v>173</v>
      </c>
      <c r="E9" s="37">
        <v>400</v>
      </c>
      <c r="F9" s="27">
        <f>E9*B9</f>
        <v>2000</v>
      </c>
      <c r="G9" s="28">
        <f>C9*B9</f>
        <v>1135</v>
      </c>
      <c r="H9" s="31">
        <f>D9*B9</f>
        <v>865</v>
      </c>
      <c r="I9" s="1"/>
    </row>
    <row r="10" spans="1:12" x14ac:dyDescent="0.25">
      <c r="A10" s="45" t="s">
        <v>16</v>
      </c>
      <c r="B10" s="44">
        <v>3</v>
      </c>
      <c r="C10" s="28">
        <f t="shared" si="4"/>
        <v>181</v>
      </c>
      <c r="D10" s="36">
        <v>19</v>
      </c>
      <c r="E10" s="37">
        <v>200</v>
      </c>
      <c r="F10" s="34">
        <f>E10*B10</f>
        <v>600</v>
      </c>
      <c r="G10" s="35">
        <f>C10*B10</f>
        <v>543</v>
      </c>
      <c r="H10" s="39">
        <f>D10*B10</f>
        <v>57</v>
      </c>
      <c r="I10" s="1"/>
    </row>
    <row r="11" spans="1:12" x14ac:dyDescent="0.25">
      <c r="A11" s="38" t="s">
        <v>17</v>
      </c>
      <c r="B11" s="34">
        <v>7</v>
      </c>
      <c r="C11" s="28">
        <f t="shared" si="4"/>
        <v>181</v>
      </c>
      <c r="D11" s="36">
        <v>19</v>
      </c>
      <c r="E11" s="37">
        <v>200</v>
      </c>
      <c r="F11" s="27">
        <f>E11*B11</f>
        <v>1400</v>
      </c>
      <c r="G11" s="28">
        <f>C11*B11</f>
        <v>1267</v>
      </c>
      <c r="H11" s="31">
        <f>D11*B11</f>
        <v>133</v>
      </c>
      <c r="I11" s="1"/>
      <c r="L11">
        <v>2023</v>
      </c>
    </row>
    <row r="12" spans="1:12" x14ac:dyDescent="0.25">
      <c r="A12" s="33" t="s">
        <v>18</v>
      </c>
      <c r="B12" s="34">
        <v>19</v>
      </c>
      <c r="C12" s="28">
        <f t="shared" si="4"/>
        <v>227</v>
      </c>
      <c r="D12" s="36">
        <v>173</v>
      </c>
      <c r="E12" s="37">
        <v>400</v>
      </c>
      <c r="F12" s="27">
        <f>E12*B12</f>
        <v>7600</v>
      </c>
      <c r="G12" s="28">
        <f>C12*B12</f>
        <v>4313</v>
      </c>
      <c r="H12" s="31">
        <f>D12*B12</f>
        <v>3287</v>
      </c>
      <c r="I12" s="1"/>
      <c r="J12">
        <v>40</v>
      </c>
      <c r="K12">
        <v>29</v>
      </c>
      <c r="L12" t="s">
        <v>204</v>
      </c>
    </row>
    <row r="13" spans="1:12" x14ac:dyDescent="0.25">
      <c r="A13" s="33" t="s">
        <v>13</v>
      </c>
      <c r="B13" s="34">
        <v>12</v>
      </c>
      <c r="C13" s="28">
        <f t="shared" si="4"/>
        <v>276</v>
      </c>
      <c r="D13" s="36">
        <v>224</v>
      </c>
      <c r="E13" s="37">
        <v>500</v>
      </c>
      <c r="F13" s="27">
        <f t="shared" si="1"/>
        <v>6000</v>
      </c>
      <c r="G13" s="28">
        <f t="shared" si="2"/>
        <v>3312</v>
      </c>
      <c r="H13" s="31">
        <f t="shared" si="3"/>
        <v>2688</v>
      </c>
      <c r="I13" s="1"/>
      <c r="J13">
        <v>193</v>
      </c>
      <c r="K13">
        <v>147</v>
      </c>
      <c r="L13" t="s">
        <v>205</v>
      </c>
    </row>
    <row r="14" spans="1:12" x14ac:dyDescent="0.25">
      <c r="A14" s="38" t="s">
        <v>14</v>
      </c>
      <c r="B14" s="27">
        <v>5</v>
      </c>
      <c r="C14" s="28">
        <f t="shared" si="4"/>
        <v>283</v>
      </c>
      <c r="D14" s="36">
        <v>167</v>
      </c>
      <c r="E14" s="37">
        <v>450</v>
      </c>
      <c r="F14" s="34">
        <f>E14*B14</f>
        <v>2250</v>
      </c>
      <c r="G14" s="35">
        <f>C14*B14</f>
        <v>1415</v>
      </c>
      <c r="H14" s="39">
        <f>D14*B14</f>
        <v>835</v>
      </c>
      <c r="I14" s="1"/>
      <c r="K14">
        <f>SUM(K12:K13)</f>
        <v>176</v>
      </c>
    </row>
    <row r="15" spans="1:12" x14ac:dyDescent="0.25">
      <c r="A15" s="38" t="s">
        <v>15</v>
      </c>
      <c r="B15" s="41">
        <v>8</v>
      </c>
      <c r="C15" s="28">
        <f>E15-D15</f>
        <v>283</v>
      </c>
      <c r="D15" s="43">
        <v>167</v>
      </c>
      <c r="E15" s="37">
        <v>450</v>
      </c>
      <c r="F15" s="44">
        <f>E15*B15</f>
        <v>3600</v>
      </c>
      <c r="G15" s="35">
        <f>C15*B15</f>
        <v>2264</v>
      </c>
      <c r="H15" s="39">
        <f>D15*B15</f>
        <v>1336</v>
      </c>
      <c r="I15" s="1"/>
      <c r="L15">
        <v>2024</v>
      </c>
    </row>
    <row r="16" spans="1:12" ht="14.4" thickBot="1" x14ac:dyDescent="0.3">
      <c r="A16" s="33" t="s">
        <v>129</v>
      </c>
      <c r="B16" s="34">
        <v>5</v>
      </c>
      <c r="C16" s="28">
        <f>E16-D16</f>
        <v>251</v>
      </c>
      <c r="D16" s="36">
        <v>149</v>
      </c>
      <c r="E16" s="37">
        <v>400</v>
      </c>
      <c r="F16" s="27">
        <f>E16*B16</f>
        <v>2000</v>
      </c>
      <c r="G16" s="28">
        <f>C16*B16</f>
        <v>1255</v>
      </c>
      <c r="H16" s="31">
        <f>D16*B16</f>
        <v>745</v>
      </c>
      <c r="I16" s="1"/>
      <c r="K16">
        <v>29</v>
      </c>
      <c r="L16" t="s">
        <v>204</v>
      </c>
    </row>
    <row r="17" spans="1:12" x14ac:dyDescent="0.25">
      <c r="A17" s="8" t="s">
        <v>20</v>
      </c>
      <c r="B17" s="9">
        <v>3</v>
      </c>
      <c r="C17" s="10">
        <v>170</v>
      </c>
      <c r="D17" s="11">
        <v>0</v>
      </c>
      <c r="E17" s="12">
        <f t="shared" ref="E17:E20" si="5">C17+D17</f>
        <v>170</v>
      </c>
      <c r="F17" s="13">
        <f t="shared" si="1"/>
        <v>510</v>
      </c>
      <c r="G17" s="10">
        <f t="shared" si="2"/>
        <v>510</v>
      </c>
      <c r="H17" s="14">
        <f t="shared" si="3"/>
        <v>0</v>
      </c>
      <c r="I17" s="1"/>
      <c r="J17">
        <v>177</v>
      </c>
      <c r="K17">
        <v>116</v>
      </c>
      <c r="L17" t="s">
        <v>205</v>
      </c>
    </row>
    <row r="18" spans="1:12" x14ac:dyDescent="0.25">
      <c r="A18" s="24" t="s">
        <v>21</v>
      </c>
      <c r="B18" s="25">
        <v>26</v>
      </c>
      <c r="C18" s="22">
        <v>240</v>
      </c>
      <c r="D18" s="19">
        <v>0</v>
      </c>
      <c r="E18" s="20">
        <f t="shared" si="5"/>
        <v>240</v>
      </c>
      <c r="F18" s="21">
        <f t="shared" si="1"/>
        <v>6240</v>
      </c>
      <c r="G18" s="22">
        <f t="shared" si="2"/>
        <v>6240</v>
      </c>
      <c r="H18" s="23">
        <f t="shared" si="3"/>
        <v>0</v>
      </c>
      <c r="I18" s="1"/>
      <c r="K18">
        <f>SUM(K16:K17)</f>
        <v>145</v>
      </c>
    </row>
    <row r="19" spans="1:12" x14ac:dyDescent="0.25">
      <c r="A19" s="24" t="s">
        <v>22</v>
      </c>
      <c r="B19" s="25">
        <v>4</v>
      </c>
      <c r="C19" s="22">
        <v>240</v>
      </c>
      <c r="D19" s="19">
        <v>0</v>
      </c>
      <c r="E19" s="20">
        <f t="shared" si="5"/>
        <v>240</v>
      </c>
      <c r="F19" s="21">
        <f t="shared" si="1"/>
        <v>960</v>
      </c>
      <c r="G19" s="22">
        <f t="shared" si="2"/>
        <v>960</v>
      </c>
      <c r="H19" s="23">
        <f t="shared" si="3"/>
        <v>0</v>
      </c>
      <c r="I19" s="1"/>
    </row>
    <row r="20" spans="1:12" ht="14.4" thickBot="1" x14ac:dyDescent="0.3">
      <c r="A20" s="46" t="s">
        <v>23</v>
      </c>
      <c r="B20" s="47">
        <v>0</v>
      </c>
      <c r="C20" s="48">
        <v>170</v>
      </c>
      <c r="D20" s="49">
        <v>0</v>
      </c>
      <c r="E20" s="50">
        <f t="shared" si="5"/>
        <v>170</v>
      </c>
      <c r="F20" s="51">
        <f t="shared" si="1"/>
        <v>0</v>
      </c>
      <c r="G20" s="48">
        <f t="shared" si="2"/>
        <v>0</v>
      </c>
      <c r="H20" s="52">
        <f t="shared" si="3"/>
        <v>0</v>
      </c>
      <c r="I20" s="1"/>
    </row>
    <row r="21" spans="1:12" x14ac:dyDescent="0.25">
      <c r="A21" s="33" t="s">
        <v>24</v>
      </c>
      <c r="B21" s="34">
        <v>14</v>
      </c>
      <c r="C21" s="35">
        <f>E21-D21</f>
        <v>250</v>
      </c>
      <c r="D21" s="36">
        <v>0</v>
      </c>
      <c r="E21" s="37">
        <v>250</v>
      </c>
      <c r="F21" s="27">
        <f>E21*B21</f>
        <v>3500</v>
      </c>
      <c r="G21" s="28">
        <f>C21*B21</f>
        <v>3500</v>
      </c>
      <c r="H21" s="31">
        <f>D21*B21</f>
        <v>0</v>
      </c>
      <c r="I21" s="1"/>
    </row>
    <row r="22" spans="1:12" x14ac:dyDescent="0.25">
      <c r="A22" s="38" t="s">
        <v>26</v>
      </c>
      <c r="B22" s="34">
        <v>17</v>
      </c>
      <c r="C22" s="35">
        <f>E22-D22</f>
        <v>181</v>
      </c>
      <c r="D22" s="36">
        <v>19</v>
      </c>
      <c r="E22" s="37">
        <v>200</v>
      </c>
      <c r="F22" s="27">
        <f>E22*B22</f>
        <v>3400</v>
      </c>
      <c r="G22" s="28">
        <f>C22*B22</f>
        <v>3077</v>
      </c>
      <c r="H22" s="31">
        <f>D22*B22</f>
        <v>323</v>
      </c>
      <c r="I22" s="1"/>
    </row>
    <row r="23" spans="1:12" x14ac:dyDescent="0.25">
      <c r="A23" s="38" t="s">
        <v>25</v>
      </c>
      <c r="B23" s="34">
        <v>22</v>
      </c>
      <c r="C23" s="35">
        <f t="shared" ref="C23:C44" si="6">E23-D23</f>
        <v>227</v>
      </c>
      <c r="D23" s="36">
        <v>173</v>
      </c>
      <c r="E23" s="37">
        <v>400</v>
      </c>
      <c r="F23" s="27">
        <f t="shared" si="1"/>
        <v>8800</v>
      </c>
      <c r="G23" s="28">
        <f t="shared" si="2"/>
        <v>4994</v>
      </c>
      <c r="H23" s="31">
        <f t="shared" si="3"/>
        <v>3806</v>
      </c>
      <c r="I23" s="1"/>
    </row>
    <row r="24" spans="1:12" x14ac:dyDescent="0.25">
      <c r="A24" s="33" t="s">
        <v>130</v>
      </c>
      <c r="B24" s="44">
        <v>18</v>
      </c>
      <c r="C24" s="35">
        <f t="shared" si="6"/>
        <v>1176</v>
      </c>
      <c r="D24" s="36">
        <v>424</v>
      </c>
      <c r="E24" s="37">
        <v>1600</v>
      </c>
      <c r="F24" s="27">
        <f t="shared" si="1"/>
        <v>28800</v>
      </c>
      <c r="G24" s="28">
        <f t="shared" si="2"/>
        <v>21168</v>
      </c>
      <c r="H24" s="31">
        <f t="shared" si="3"/>
        <v>7632</v>
      </c>
      <c r="I24" s="1"/>
    </row>
    <row r="25" spans="1:12" x14ac:dyDescent="0.25">
      <c r="A25" s="33" t="s">
        <v>131</v>
      </c>
      <c r="B25" s="34">
        <v>11</v>
      </c>
      <c r="C25" s="42">
        <f t="shared" si="6"/>
        <v>517</v>
      </c>
      <c r="D25" s="36">
        <v>133</v>
      </c>
      <c r="E25" s="37">
        <v>650</v>
      </c>
      <c r="F25" s="27">
        <f t="shared" si="1"/>
        <v>7150</v>
      </c>
      <c r="G25" s="28">
        <f t="shared" si="2"/>
        <v>5687</v>
      </c>
      <c r="H25" s="31">
        <f t="shared" si="3"/>
        <v>1463</v>
      </c>
      <c r="I25" s="1"/>
    </row>
    <row r="26" spans="1:12" x14ac:dyDescent="0.25">
      <c r="A26" s="33" t="s">
        <v>132</v>
      </c>
      <c r="B26" s="34">
        <v>16</v>
      </c>
      <c r="C26" s="42">
        <f t="shared" si="6"/>
        <v>842</v>
      </c>
      <c r="D26" s="36">
        <v>158</v>
      </c>
      <c r="E26" s="37">
        <v>1000</v>
      </c>
      <c r="F26" s="27">
        <f t="shared" si="1"/>
        <v>16000</v>
      </c>
      <c r="G26" s="28">
        <f t="shared" si="2"/>
        <v>13472</v>
      </c>
      <c r="H26" s="31">
        <f t="shared" si="3"/>
        <v>2528</v>
      </c>
      <c r="I26" s="1"/>
    </row>
    <row r="27" spans="1:12" x14ac:dyDescent="0.25">
      <c r="A27" s="59" t="s">
        <v>133</v>
      </c>
      <c r="B27" s="41">
        <v>17</v>
      </c>
      <c r="C27" s="42">
        <f t="shared" si="6"/>
        <v>279</v>
      </c>
      <c r="D27" s="43">
        <v>371</v>
      </c>
      <c r="E27" s="37">
        <v>650</v>
      </c>
      <c r="F27" s="44">
        <f t="shared" si="1"/>
        <v>11050</v>
      </c>
      <c r="G27" s="35">
        <f t="shared" si="2"/>
        <v>4743</v>
      </c>
      <c r="H27" s="39">
        <f t="shared" si="3"/>
        <v>6307</v>
      </c>
      <c r="I27" s="1"/>
    </row>
    <row r="28" spans="1:12" x14ac:dyDescent="0.25">
      <c r="A28" s="59" t="s">
        <v>134</v>
      </c>
      <c r="B28" s="41">
        <v>6</v>
      </c>
      <c r="C28" s="42">
        <f t="shared" si="6"/>
        <v>226</v>
      </c>
      <c r="D28" s="43">
        <v>224</v>
      </c>
      <c r="E28" s="37">
        <v>450</v>
      </c>
      <c r="F28" s="44">
        <f t="shared" si="1"/>
        <v>2700</v>
      </c>
      <c r="G28" s="35">
        <f t="shared" si="2"/>
        <v>1356</v>
      </c>
      <c r="H28" s="39">
        <f t="shared" si="3"/>
        <v>1344</v>
      </c>
      <c r="I28" s="1"/>
    </row>
    <row r="29" spans="1:12" x14ac:dyDescent="0.25">
      <c r="A29" s="59" t="s">
        <v>135</v>
      </c>
      <c r="B29" s="41">
        <v>8</v>
      </c>
      <c r="C29" s="42">
        <f t="shared" si="6"/>
        <v>276</v>
      </c>
      <c r="D29" s="43">
        <v>224</v>
      </c>
      <c r="E29" s="37">
        <v>500</v>
      </c>
      <c r="F29" s="44">
        <f t="shared" si="1"/>
        <v>4000</v>
      </c>
      <c r="G29" s="35">
        <f t="shared" si="2"/>
        <v>2208</v>
      </c>
      <c r="H29" s="39">
        <f t="shared" si="3"/>
        <v>1792</v>
      </c>
      <c r="I29" s="1"/>
    </row>
    <row r="30" spans="1:12" ht="14.4" thickBot="1" x14ac:dyDescent="0.3">
      <c r="A30" s="33" t="s">
        <v>136</v>
      </c>
      <c r="B30" s="34">
        <v>6</v>
      </c>
      <c r="C30" s="42">
        <f t="shared" si="6"/>
        <v>842</v>
      </c>
      <c r="D30" s="36">
        <v>158</v>
      </c>
      <c r="E30" s="37">
        <v>1000</v>
      </c>
      <c r="F30" s="27">
        <f t="shared" si="1"/>
        <v>6000</v>
      </c>
      <c r="G30" s="28">
        <f t="shared" si="2"/>
        <v>5052</v>
      </c>
      <c r="H30" s="31">
        <f t="shared" si="3"/>
        <v>948</v>
      </c>
      <c r="I30" s="1"/>
    </row>
    <row r="31" spans="1:12" x14ac:dyDescent="0.25">
      <c r="A31" s="55" t="s">
        <v>34</v>
      </c>
      <c r="B31" s="9">
        <v>0</v>
      </c>
      <c r="C31" s="10">
        <v>170</v>
      </c>
      <c r="D31" s="11">
        <v>0</v>
      </c>
      <c r="E31" s="12">
        <v>170</v>
      </c>
      <c r="F31" s="13">
        <f t="shared" si="1"/>
        <v>0</v>
      </c>
      <c r="G31" s="10">
        <f t="shared" si="2"/>
        <v>0</v>
      </c>
      <c r="H31" s="14">
        <f t="shared" si="3"/>
        <v>0</v>
      </c>
      <c r="I31" s="1"/>
    </row>
    <row r="32" spans="1:12" x14ac:dyDescent="0.25">
      <c r="A32" s="57" t="s">
        <v>35</v>
      </c>
      <c r="B32" s="25">
        <v>20</v>
      </c>
      <c r="C32" s="22">
        <v>240</v>
      </c>
      <c r="D32" s="19">
        <v>0</v>
      </c>
      <c r="E32" s="20">
        <v>240</v>
      </c>
      <c r="F32" s="21">
        <f t="shared" si="1"/>
        <v>4800</v>
      </c>
      <c r="G32" s="22">
        <f t="shared" si="2"/>
        <v>4800</v>
      </c>
      <c r="H32" s="23">
        <f t="shared" si="3"/>
        <v>0</v>
      </c>
      <c r="I32" s="1"/>
    </row>
    <row r="33" spans="1:9" x14ac:dyDescent="0.25">
      <c r="A33" s="57" t="s">
        <v>36</v>
      </c>
      <c r="B33" s="25">
        <v>3</v>
      </c>
      <c r="C33" s="22">
        <v>240</v>
      </c>
      <c r="D33" s="19">
        <v>0</v>
      </c>
      <c r="E33" s="20">
        <v>240</v>
      </c>
      <c r="F33" s="21">
        <f t="shared" si="1"/>
        <v>720</v>
      </c>
      <c r="G33" s="22">
        <f t="shared" si="2"/>
        <v>720</v>
      </c>
      <c r="H33" s="23">
        <f t="shared" si="3"/>
        <v>0</v>
      </c>
      <c r="I33" s="1"/>
    </row>
    <row r="34" spans="1:9" ht="14.4" thickBot="1" x14ac:dyDescent="0.3">
      <c r="A34" s="58" t="s">
        <v>37</v>
      </c>
      <c r="B34" s="47">
        <v>2</v>
      </c>
      <c r="C34" s="48">
        <v>170</v>
      </c>
      <c r="D34" s="49">
        <v>0</v>
      </c>
      <c r="E34" s="50">
        <v>170</v>
      </c>
      <c r="F34" s="51">
        <f t="shared" si="1"/>
        <v>340</v>
      </c>
      <c r="G34" s="48">
        <f t="shared" si="2"/>
        <v>340</v>
      </c>
      <c r="H34" s="52">
        <f t="shared" si="3"/>
        <v>0</v>
      </c>
      <c r="I34" s="1"/>
    </row>
    <row r="35" spans="1:9" x14ac:dyDescent="0.25">
      <c r="A35" s="59" t="s">
        <v>24</v>
      </c>
      <c r="B35" s="34">
        <v>12</v>
      </c>
      <c r="C35" s="35">
        <f>E35-D35</f>
        <v>250</v>
      </c>
      <c r="D35" s="36">
        <v>0</v>
      </c>
      <c r="E35" s="37">
        <v>250</v>
      </c>
      <c r="F35" s="27">
        <f t="shared" si="1"/>
        <v>3000</v>
      </c>
      <c r="G35" s="28">
        <f t="shared" si="2"/>
        <v>3000</v>
      </c>
      <c r="H35" s="31">
        <f t="shared" si="3"/>
        <v>0</v>
      </c>
      <c r="I35" s="1"/>
    </row>
    <row r="36" spans="1:9" x14ac:dyDescent="0.25">
      <c r="A36" s="33" t="s">
        <v>137</v>
      </c>
      <c r="B36" s="34">
        <v>1</v>
      </c>
      <c r="C36" s="42">
        <f>E36-D36</f>
        <v>181</v>
      </c>
      <c r="D36" s="36">
        <v>19</v>
      </c>
      <c r="E36" s="37">
        <v>200</v>
      </c>
      <c r="F36" s="27">
        <f t="shared" si="1"/>
        <v>200</v>
      </c>
      <c r="G36" s="28">
        <f t="shared" si="2"/>
        <v>181</v>
      </c>
      <c r="H36" s="31">
        <f t="shared" si="3"/>
        <v>19</v>
      </c>
      <c r="I36" s="1"/>
    </row>
    <row r="37" spans="1:9" x14ac:dyDescent="0.25">
      <c r="A37" s="59" t="s">
        <v>138</v>
      </c>
      <c r="B37" s="34">
        <v>5</v>
      </c>
      <c r="C37" s="42">
        <f>E37-D37</f>
        <v>181</v>
      </c>
      <c r="D37" s="36">
        <v>19</v>
      </c>
      <c r="E37" s="37">
        <v>200</v>
      </c>
      <c r="F37" s="44">
        <f t="shared" si="1"/>
        <v>1000</v>
      </c>
      <c r="G37" s="35">
        <f t="shared" si="2"/>
        <v>905</v>
      </c>
      <c r="H37" s="39">
        <f t="shared" si="3"/>
        <v>95</v>
      </c>
      <c r="I37" s="1"/>
    </row>
    <row r="38" spans="1:9" x14ac:dyDescent="0.25">
      <c r="A38" s="59" t="s">
        <v>139</v>
      </c>
      <c r="B38" s="34">
        <v>6</v>
      </c>
      <c r="C38" s="42">
        <f>E38-D38</f>
        <v>181</v>
      </c>
      <c r="D38" s="36">
        <v>19</v>
      </c>
      <c r="E38" s="37">
        <v>200</v>
      </c>
      <c r="F38" s="44">
        <f t="shared" si="1"/>
        <v>1200</v>
      </c>
      <c r="G38" s="35">
        <f t="shared" si="2"/>
        <v>1086</v>
      </c>
      <c r="H38" s="39">
        <f t="shared" si="3"/>
        <v>114</v>
      </c>
      <c r="I38" s="1"/>
    </row>
    <row r="39" spans="1:9" x14ac:dyDescent="0.25">
      <c r="A39" s="53" t="s">
        <v>28</v>
      </c>
      <c r="B39" s="27">
        <v>7</v>
      </c>
      <c r="C39" s="35">
        <f t="shared" si="6"/>
        <v>227</v>
      </c>
      <c r="D39" s="36">
        <v>173</v>
      </c>
      <c r="E39" s="37">
        <v>400</v>
      </c>
      <c r="F39" s="34">
        <f t="shared" si="1"/>
        <v>2800</v>
      </c>
      <c r="G39" s="35">
        <f t="shared" si="2"/>
        <v>1589</v>
      </c>
      <c r="H39" s="39">
        <f t="shared" si="3"/>
        <v>1211</v>
      </c>
      <c r="I39" s="1"/>
    </row>
    <row r="40" spans="1:9" x14ac:dyDescent="0.25">
      <c r="A40" s="53" t="s">
        <v>29</v>
      </c>
      <c r="B40" s="27">
        <v>5</v>
      </c>
      <c r="C40" s="35">
        <f t="shared" si="6"/>
        <v>209</v>
      </c>
      <c r="D40" s="36">
        <v>291</v>
      </c>
      <c r="E40" s="37">
        <v>500</v>
      </c>
      <c r="F40" s="34">
        <f t="shared" si="1"/>
        <v>2500</v>
      </c>
      <c r="G40" s="35">
        <f t="shared" si="2"/>
        <v>1045</v>
      </c>
      <c r="H40" s="39">
        <f t="shared" si="3"/>
        <v>1455</v>
      </c>
      <c r="I40" s="1"/>
    </row>
    <row r="41" spans="1:9" x14ac:dyDescent="0.25">
      <c r="A41" s="45" t="s">
        <v>31</v>
      </c>
      <c r="B41" s="44">
        <v>4</v>
      </c>
      <c r="C41" s="35">
        <f>E41-D41</f>
        <v>270</v>
      </c>
      <c r="D41" s="36">
        <v>180</v>
      </c>
      <c r="E41" s="37">
        <v>450</v>
      </c>
      <c r="F41" s="34">
        <f>E41*B41</f>
        <v>1800</v>
      </c>
      <c r="G41" s="35">
        <f>C41*B41</f>
        <v>1080</v>
      </c>
      <c r="H41" s="39">
        <f>D41*B41</f>
        <v>720</v>
      </c>
      <c r="I41" s="1"/>
    </row>
    <row r="42" spans="1:9" x14ac:dyDescent="0.25">
      <c r="A42" s="33" t="s">
        <v>30</v>
      </c>
      <c r="B42" s="44">
        <v>5</v>
      </c>
      <c r="C42" s="35">
        <f t="shared" si="6"/>
        <v>270</v>
      </c>
      <c r="D42" s="36">
        <v>180</v>
      </c>
      <c r="E42" s="37">
        <v>450</v>
      </c>
      <c r="F42" s="44">
        <f>E42*B42</f>
        <v>2250</v>
      </c>
      <c r="G42" s="35">
        <f>C42*B42</f>
        <v>1350</v>
      </c>
      <c r="H42" s="39">
        <f>D42*B42</f>
        <v>900</v>
      </c>
      <c r="I42" s="1"/>
    </row>
    <row r="43" spans="1:9" x14ac:dyDescent="0.25">
      <c r="A43" s="33" t="s">
        <v>140</v>
      </c>
      <c r="B43" s="54">
        <v>15</v>
      </c>
      <c r="C43" s="35">
        <f t="shared" si="6"/>
        <v>940</v>
      </c>
      <c r="D43" s="29">
        <v>160</v>
      </c>
      <c r="E43" s="37">
        <v>1100</v>
      </c>
      <c r="F43" s="34">
        <f t="shared" ref="F43:F62" si="7">E43*B43</f>
        <v>16500</v>
      </c>
      <c r="G43" s="35">
        <f t="shared" ref="G43:G62" si="8">C43*B43</f>
        <v>14100</v>
      </c>
      <c r="H43" s="39">
        <f t="shared" ref="H43:H62" si="9">D43*B43</f>
        <v>2400</v>
      </c>
      <c r="I43" s="1"/>
    </row>
    <row r="44" spans="1:9" ht="14.4" thickBot="1" x14ac:dyDescent="0.3">
      <c r="A44" s="33" t="s">
        <v>141</v>
      </c>
      <c r="B44" s="54">
        <v>10</v>
      </c>
      <c r="C44" s="35">
        <f t="shared" si="6"/>
        <v>450</v>
      </c>
      <c r="D44" s="29">
        <v>200</v>
      </c>
      <c r="E44" s="37">
        <v>650</v>
      </c>
      <c r="F44" s="34">
        <f t="shared" si="7"/>
        <v>6500</v>
      </c>
      <c r="G44" s="35">
        <f t="shared" si="8"/>
        <v>4500</v>
      </c>
      <c r="H44" s="39">
        <f t="shared" si="9"/>
        <v>2000</v>
      </c>
      <c r="I44" s="1"/>
    </row>
    <row r="45" spans="1:9" x14ac:dyDescent="0.25">
      <c r="A45" s="55" t="s">
        <v>49</v>
      </c>
      <c r="B45" s="13">
        <v>1</v>
      </c>
      <c r="C45" s="10">
        <v>170</v>
      </c>
      <c r="D45" s="11">
        <v>0</v>
      </c>
      <c r="E45" s="12">
        <v>170</v>
      </c>
      <c r="F45" s="13">
        <f t="shared" si="7"/>
        <v>170</v>
      </c>
      <c r="G45" s="10">
        <f t="shared" si="8"/>
        <v>170</v>
      </c>
      <c r="H45" s="14">
        <f t="shared" si="9"/>
        <v>0</v>
      </c>
      <c r="I45" s="1"/>
    </row>
    <row r="46" spans="1:9" x14ac:dyDescent="0.25">
      <c r="A46" s="57" t="s">
        <v>50</v>
      </c>
      <c r="B46" s="21">
        <v>13</v>
      </c>
      <c r="C46" s="22">
        <v>240</v>
      </c>
      <c r="D46" s="19">
        <v>0</v>
      </c>
      <c r="E46" s="20">
        <v>240</v>
      </c>
      <c r="F46" s="21">
        <f t="shared" si="7"/>
        <v>3120</v>
      </c>
      <c r="G46" s="22">
        <f t="shared" si="8"/>
        <v>3120</v>
      </c>
      <c r="H46" s="23">
        <f t="shared" si="9"/>
        <v>0</v>
      </c>
      <c r="I46" s="1"/>
    </row>
    <row r="47" spans="1:9" x14ac:dyDescent="0.25">
      <c r="A47" s="57" t="s">
        <v>51</v>
      </c>
      <c r="B47" s="21">
        <v>1</v>
      </c>
      <c r="C47" s="22">
        <v>240</v>
      </c>
      <c r="D47" s="19">
        <v>0</v>
      </c>
      <c r="E47" s="20">
        <v>240</v>
      </c>
      <c r="F47" s="21">
        <f t="shared" si="7"/>
        <v>240</v>
      </c>
      <c r="G47" s="22">
        <f t="shared" si="8"/>
        <v>240</v>
      </c>
      <c r="H47" s="23">
        <f t="shared" si="9"/>
        <v>0</v>
      </c>
      <c r="I47" s="1"/>
    </row>
    <row r="48" spans="1:9" ht="14.4" thickBot="1" x14ac:dyDescent="0.3">
      <c r="A48" s="58" t="s">
        <v>52</v>
      </c>
      <c r="B48" s="51">
        <v>0</v>
      </c>
      <c r="C48" s="48">
        <v>170</v>
      </c>
      <c r="D48" s="49">
        <v>0</v>
      </c>
      <c r="E48" s="50">
        <v>170</v>
      </c>
      <c r="F48" s="51">
        <f t="shared" si="7"/>
        <v>0</v>
      </c>
      <c r="G48" s="48">
        <f t="shared" si="8"/>
        <v>0</v>
      </c>
      <c r="H48" s="52">
        <f t="shared" si="9"/>
        <v>0</v>
      </c>
      <c r="I48" s="1"/>
    </row>
    <row r="49" spans="1:9" x14ac:dyDescent="0.25">
      <c r="A49" s="33" t="s">
        <v>142</v>
      </c>
      <c r="B49" s="34">
        <v>0</v>
      </c>
      <c r="C49" s="42">
        <f>E49-D49</f>
        <v>227</v>
      </c>
      <c r="D49" s="36">
        <v>173</v>
      </c>
      <c r="E49" s="37">
        <v>400</v>
      </c>
      <c r="F49" s="27">
        <f t="shared" si="7"/>
        <v>0</v>
      </c>
      <c r="G49" s="28">
        <f t="shared" si="8"/>
        <v>0</v>
      </c>
      <c r="H49" s="31">
        <f t="shared" si="9"/>
        <v>0</v>
      </c>
      <c r="I49" s="1"/>
    </row>
    <row r="50" spans="1:9" x14ac:dyDescent="0.25">
      <c r="A50" s="59" t="s">
        <v>143</v>
      </c>
      <c r="B50" s="41">
        <v>15</v>
      </c>
      <c r="C50" s="42">
        <f>E50-D50</f>
        <v>181</v>
      </c>
      <c r="D50" s="43">
        <v>19</v>
      </c>
      <c r="E50" s="37">
        <v>200</v>
      </c>
      <c r="F50" s="44">
        <f t="shared" si="7"/>
        <v>3000</v>
      </c>
      <c r="G50" s="35">
        <f t="shared" si="8"/>
        <v>2715</v>
      </c>
      <c r="H50" s="39">
        <f t="shared" si="9"/>
        <v>285</v>
      </c>
      <c r="I50" s="1"/>
    </row>
    <row r="51" spans="1:9" x14ac:dyDescent="0.25">
      <c r="A51" s="59" t="s">
        <v>144</v>
      </c>
      <c r="B51" s="41">
        <v>15</v>
      </c>
      <c r="C51" s="42">
        <f>E51-D51</f>
        <v>227</v>
      </c>
      <c r="D51" s="43">
        <v>173</v>
      </c>
      <c r="E51" s="37">
        <v>400</v>
      </c>
      <c r="F51" s="44">
        <f t="shared" si="7"/>
        <v>6000</v>
      </c>
      <c r="G51" s="35">
        <f t="shared" si="8"/>
        <v>3405</v>
      </c>
      <c r="H51" s="39">
        <f t="shared" si="9"/>
        <v>2595</v>
      </c>
      <c r="I51" s="1"/>
    </row>
    <row r="52" spans="1:9" x14ac:dyDescent="0.25">
      <c r="A52" s="33" t="s">
        <v>145</v>
      </c>
      <c r="B52" s="34">
        <v>4</v>
      </c>
      <c r="C52" s="42">
        <f t="shared" ref="C52:C61" si="10">E52-D52</f>
        <v>227</v>
      </c>
      <c r="D52" s="36">
        <v>173</v>
      </c>
      <c r="E52" s="37">
        <v>400</v>
      </c>
      <c r="F52" s="27">
        <f t="shared" si="7"/>
        <v>1600</v>
      </c>
      <c r="G52" s="28">
        <f t="shared" si="8"/>
        <v>908</v>
      </c>
      <c r="H52" s="31">
        <f t="shared" si="9"/>
        <v>692</v>
      </c>
      <c r="I52" s="1"/>
    </row>
    <row r="53" spans="1:9" x14ac:dyDescent="0.25">
      <c r="A53" s="33" t="s">
        <v>146</v>
      </c>
      <c r="B53" s="34">
        <v>6</v>
      </c>
      <c r="C53" s="42">
        <f t="shared" si="10"/>
        <v>227</v>
      </c>
      <c r="D53" s="36">
        <v>173</v>
      </c>
      <c r="E53" s="37">
        <v>400</v>
      </c>
      <c r="F53" s="27">
        <f t="shared" si="7"/>
        <v>2400</v>
      </c>
      <c r="G53" s="28">
        <f t="shared" si="8"/>
        <v>1362</v>
      </c>
      <c r="H53" s="31">
        <f t="shared" si="9"/>
        <v>1038</v>
      </c>
      <c r="I53" s="1"/>
    </row>
    <row r="54" spans="1:9" x14ac:dyDescent="0.25">
      <c r="A54" s="59" t="s">
        <v>147</v>
      </c>
      <c r="B54" s="41">
        <v>9</v>
      </c>
      <c r="C54" s="42">
        <f t="shared" si="10"/>
        <v>1113</v>
      </c>
      <c r="D54" s="43">
        <v>87</v>
      </c>
      <c r="E54" s="37">
        <v>1200</v>
      </c>
      <c r="F54" s="27">
        <f t="shared" si="7"/>
        <v>10800</v>
      </c>
      <c r="G54" s="28">
        <f t="shared" si="8"/>
        <v>10017</v>
      </c>
      <c r="H54" s="31">
        <f t="shared" si="9"/>
        <v>783</v>
      </c>
      <c r="I54" s="1"/>
    </row>
    <row r="55" spans="1:9" x14ac:dyDescent="0.25">
      <c r="A55" s="33" t="s">
        <v>148</v>
      </c>
      <c r="B55" s="34">
        <v>6</v>
      </c>
      <c r="C55" s="42">
        <f t="shared" si="10"/>
        <v>212</v>
      </c>
      <c r="D55" s="36">
        <v>438</v>
      </c>
      <c r="E55" s="37">
        <v>650</v>
      </c>
      <c r="F55" s="27">
        <f t="shared" si="7"/>
        <v>3900</v>
      </c>
      <c r="G55" s="28">
        <f t="shared" si="8"/>
        <v>1272</v>
      </c>
      <c r="H55" s="31">
        <f t="shared" si="9"/>
        <v>2628</v>
      </c>
      <c r="I55" s="1"/>
    </row>
    <row r="56" spans="1:9" x14ac:dyDescent="0.25">
      <c r="A56" s="33" t="s">
        <v>149</v>
      </c>
      <c r="B56" s="34">
        <v>5</v>
      </c>
      <c r="C56" s="42">
        <f t="shared" si="10"/>
        <v>276</v>
      </c>
      <c r="D56" s="36">
        <v>224</v>
      </c>
      <c r="E56" s="37">
        <v>500</v>
      </c>
      <c r="F56" s="27">
        <f t="shared" si="7"/>
        <v>2500</v>
      </c>
      <c r="G56" s="28">
        <f t="shared" si="8"/>
        <v>1380</v>
      </c>
      <c r="H56" s="31">
        <f t="shared" si="9"/>
        <v>1120</v>
      </c>
      <c r="I56" s="1"/>
    </row>
    <row r="57" spans="1:9" x14ac:dyDescent="0.25">
      <c r="A57" s="33" t="s">
        <v>150</v>
      </c>
      <c r="B57" s="34">
        <v>6</v>
      </c>
      <c r="C57" s="42">
        <f t="shared" si="10"/>
        <v>276</v>
      </c>
      <c r="D57" s="36">
        <v>224</v>
      </c>
      <c r="E57" s="37">
        <v>500</v>
      </c>
      <c r="F57" s="27">
        <f t="shared" si="7"/>
        <v>3000</v>
      </c>
      <c r="G57" s="28">
        <f t="shared" si="8"/>
        <v>1656</v>
      </c>
      <c r="H57" s="31">
        <f t="shared" si="9"/>
        <v>1344</v>
      </c>
      <c r="I57" s="1"/>
    </row>
    <row r="58" spans="1:9" x14ac:dyDescent="0.25">
      <c r="A58" s="33" t="s">
        <v>151</v>
      </c>
      <c r="B58" s="34">
        <v>4</v>
      </c>
      <c r="C58" s="35">
        <f t="shared" si="10"/>
        <v>384</v>
      </c>
      <c r="D58" s="36">
        <v>266</v>
      </c>
      <c r="E58" s="37">
        <v>650</v>
      </c>
      <c r="F58" s="44">
        <f t="shared" si="7"/>
        <v>2600</v>
      </c>
      <c r="G58" s="35">
        <f t="shared" si="8"/>
        <v>1536</v>
      </c>
      <c r="H58" s="39">
        <f t="shared" si="9"/>
        <v>1064</v>
      </c>
      <c r="I58" s="1"/>
    </row>
    <row r="59" spans="1:9" x14ac:dyDescent="0.25">
      <c r="A59" s="59" t="s">
        <v>152</v>
      </c>
      <c r="B59" s="41">
        <v>11</v>
      </c>
      <c r="C59" s="42">
        <f t="shared" si="10"/>
        <v>909</v>
      </c>
      <c r="D59" s="43">
        <v>291</v>
      </c>
      <c r="E59" s="37">
        <v>1200</v>
      </c>
      <c r="F59" s="27">
        <f t="shared" si="7"/>
        <v>13200</v>
      </c>
      <c r="G59" s="28">
        <f t="shared" si="8"/>
        <v>9999</v>
      </c>
      <c r="H59" s="31">
        <f t="shared" si="9"/>
        <v>3201</v>
      </c>
      <c r="I59" s="1"/>
    </row>
    <row r="60" spans="1:9" x14ac:dyDescent="0.25">
      <c r="A60" s="59" t="s">
        <v>153</v>
      </c>
      <c r="B60" s="41">
        <v>15</v>
      </c>
      <c r="C60" s="42">
        <f t="shared" si="10"/>
        <v>1110</v>
      </c>
      <c r="D60" s="43">
        <v>690</v>
      </c>
      <c r="E60" s="37">
        <v>1800</v>
      </c>
      <c r="F60" s="27">
        <f t="shared" si="7"/>
        <v>27000</v>
      </c>
      <c r="G60" s="28">
        <f t="shared" si="8"/>
        <v>16650</v>
      </c>
      <c r="H60" s="31">
        <f t="shared" si="9"/>
        <v>10350</v>
      </c>
      <c r="I60" s="1"/>
    </row>
    <row r="61" spans="1:9" ht="14.4" thickBot="1" x14ac:dyDescent="0.3">
      <c r="A61" s="62" t="s">
        <v>60</v>
      </c>
      <c r="B61" s="63">
        <v>0</v>
      </c>
      <c r="C61" s="42">
        <f t="shared" si="10"/>
        <v>50</v>
      </c>
      <c r="D61" s="35">
        <v>0</v>
      </c>
      <c r="E61" s="37">
        <v>50</v>
      </c>
      <c r="F61" s="44">
        <f t="shared" si="7"/>
        <v>0</v>
      </c>
      <c r="G61" s="35">
        <f t="shared" si="8"/>
        <v>0</v>
      </c>
      <c r="H61" s="39">
        <f t="shared" si="9"/>
        <v>0</v>
      </c>
      <c r="I61" s="2"/>
    </row>
    <row r="62" spans="1:9" ht="14.4" thickBot="1" x14ac:dyDescent="0.3">
      <c r="A62" s="64" t="s">
        <v>61</v>
      </c>
      <c r="B62" s="65"/>
      <c r="C62" s="66">
        <v>50</v>
      </c>
      <c r="D62" s="67">
        <v>0</v>
      </c>
      <c r="E62" s="64">
        <v>50</v>
      </c>
      <c r="F62" s="65">
        <f t="shared" si="7"/>
        <v>0</v>
      </c>
      <c r="G62" s="66">
        <f t="shared" si="8"/>
        <v>0</v>
      </c>
      <c r="H62" s="68">
        <f t="shared" si="9"/>
        <v>0</v>
      </c>
      <c r="I62" s="2"/>
    </row>
    <row r="63" spans="1:9" ht="14.4" thickBot="1" x14ac:dyDescent="0.3">
      <c r="A63" s="2"/>
      <c r="B63" s="61">
        <f>SUM(B3:B62)</f>
        <v>545</v>
      </c>
      <c r="C63" s="7"/>
      <c r="D63" s="7"/>
      <c r="E63" s="7"/>
      <c r="F63" s="69">
        <f>SUM(F3:F62)</f>
        <v>271580</v>
      </c>
      <c r="G63" s="61">
        <f>SUM(G3:G62)</f>
        <v>201439</v>
      </c>
      <c r="H63" s="70">
        <f>SUM(H3:H62)</f>
        <v>70141</v>
      </c>
      <c r="I63" s="1"/>
    </row>
    <row r="65" spans="1:2" ht="14.4" thickBot="1" x14ac:dyDescent="0.3"/>
    <row r="66" spans="1:2" x14ac:dyDescent="0.25">
      <c r="A66" s="95" t="s">
        <v>154</v>
      </c>
      <c r="B66" s="88">
        <f>G63-(SUM(G3:G6)+SUM(G17:G20)+SUM(G31:G34)+SUM(G45:G48))</f>
        <v>165109</v>
      </c>
    </row>
    <row r="67" spans="1:2" ht="14.4" thickBot="1" x14ac:dyDescent="0.3">
      <c r="A67" s="96" t="s">
        <v>155</v>
      </c>
      <c r="B67" s="86">
        <f>(SUM(G3:G6)+SUM(G17:G20)+SUM(G31:G34)+SUM(G45:G48))</f>
        <v>36330</v>
      </c>
    </row>
    <row r="68" spans="1:2" x14ac:dyDescent="0.25">
      <c r="A68" s="95" t="s">
        <v>70</v>
      </c>
      <c r="B68" s="88">
        <f>SUM(B7:B16)+SUM(B21:B30)+SUM(B35:B44)+SUM(B49:B60)</f>
        <v>384</v>
      </c>
    </row>
    <row r="69" spans="1:2" ht="14.4" thickBot="1" x14ac:dyDescent="0.3">
      <c r="A69" s="96" t="s">
        <v>71</v>
      </c>
      <c r="B69" s="86">
        <f>(SUM(B3:B6)+SUM(B17:B20)+SUM(B31:B34)+SUM(B45:B48))</f>
        <v>161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E426-B73C-4664-9A01-EBFFE50629EC}">
  <sheetPr>
    <pageSetUpPr fitToPage="1"/>
  </sheetPr>
  <dimension ref="A1:O88"/>
  <sheetViews>
    <sheetView rightToLeft="1" tabSelected="1" topLeftCell="A40" workbookViewId="0">
      <selection activeCell="A62" sqref="A62"/>
    </sheetView>
  </sheetViews>
  <sheetFormatPr defaultColWidth="9" defaultRowHeight="13.8" x14ac:dyDescent="0.25"/>
  <cols>
    <col min="1" max="1" width="39.296875" style="2" bestFit="1" customWidth="1"/>
    <col min="2" max="2" width="9" style="1"/>
    <col min="3" max="3" width="6.5" style="1" bestFit="1" customWidth="1"/>
    <col min="4" max="4" width="8.296875" style="1" customWidth="1"/>
    <col min="5" max="5" width="6.5" style="1" bestFit="1" customWidth="1"/>
    <col min="6" max="6" width="9.296875" style="1" customWidth="1"/>
    <col min="7" max="7" width="7.296875" style="1" customWidth="1"/>
    <col min="8" max="8" width="10.69921875" style="1" customWidth="1"/>
    <col min="9" max="9" width="9" style="1"/>
    <col min="10" max="10" width="13.796875" style="2" bestFit="1" customWidth="1"/>
    <col min="11" max="11" width="21.796875" style="1" customWidth="1"/>
    <col min="12" max="12" width="11.19921875" style="1" bestFit="1" customWidth="1"/>
    <col min="13" max="13" width="8.296875" style="1" bestFit="1" customWidth="1"/>
    <col min="14" max="14" width="8.296875" style="1" customWidth="1"/>
    <col min="15" max="15" width="27" style="1" bestFit="1" customWidth="1"/>
    <col min="16" max="16" width="12" style="1" bestFit="1" customWidth="1"/>
    <col min="17" max="16384" width="9" style="1"/>
  </cols>
  <sheetData>
    <row r="1" spans="1:13" ht="23.4" thickBot="1" x14ac:dyDescent="0.45">
      <c r="A1" s="183" t="s">
        <v>0</v>
      </c>
      <c r="B1" s="183"/>
      <c r="C1" s="183"/>
      <c r="D1" s="183"/>
      <c r="E1" s="183"/>
      <c r="F1" s="183"/>
      <c r="G1" s="183"/>
      <c r="H1" s="183"/>
    </row>
    <row r="2" spans="1:13" s="7" customFormat="1" ht="28.2" thickBot="1" x14ac:dyDescent="0.3">
      <c r="A2" s="3"/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  <c r="J2" s="2"/>
      <c r="K2" s="1"/>
    </row>
    <row r="3" spans="1:13" x14ac:dyDescent="0.25">
      <c r="A3" s="8" t="s">
        <v>8</v>
      </c>
      <c r="B3" s="9">
        <v>15</v>
      </c>
      <c r="C3" s="10">
        <v>170</v>
      </c>
      <c r="D3" s="11">
        <v>0</v>
      </c>
      <c r="E3" s="12">
        <f t="shared" ref="E3:E27" si="0">C3+D3</f>
        <v>170</v>
      </c>
      <c r="F3" s="13">
        <f t="shared" ref="F3:F24" si="1">E3*B3</f>
        <v>2550</v>
      </c>
      <c r="G3" s="10">
        <f t="shared" ref="G3:G24" si="2">C3*B3</f>
        <v>2550</v>
      </c>
      <c r="H3" s="14">
        <f t="shared" ref="H3:H24" si="3">D3*B3</f>
        <v>0</v>
      </c>
      <c r="K3" s="15"/>
      <c r="L3" s="15"/>
      <c r="M3" s="15"/>
    </row>
    <row r="4" spans="1:13" x14ac:dyDescent="0.25">
      <c r="A4" s="16" t="s">
        <v>9</v>
      </c>
      <c r="B4" s="17">
        <v>73</v>
      </c>
      <c r="C4" s="18">
        <v>240</v>
      </c>
      <c r="D4" s="19">
        <v>0</v>
      </c>
      <c r="E4" s="20">
        <f t="shared" si="0"/>
        <v>240</v>
      </c>
      <c r="F4" s="21">
        <f>E4*B4</f>
        <v>17520</v>
      </c>
      <c r="G4" s="22">
        <f>C4*B4</f>
        <v>17520</v>
      </c>
      <c r="H4" s="23">
        <f>D4*B4</f>
        <v>0</v>
      </c>
      <c r="K4" s="15"/>
      <c r="L4" s="15"/>
      <c r="M4" s="15"/>
    </row>
    <row r="5" spans="1:13" x14ac:dyDescent="0.25">
      <c r="A5" s="16" t="s">
        <v>10</v>
      </c>
      <c r="B5" s="17">
        <v>2</v>
      </c>
      <c r="C5" s="18">
        <v>170</v>
      </c>
      <c r="D5" s="19">
        <v>0</v>
      </c>
      <c r="E5" s="20">
        <f t="shared" si="0"/>
        <v>170</v>
      </c>
      <c r="F5" s="21">
        <f t="shared" si="1"/>
        <v>340</v>
      </c>
      <c r="G5" s="22">
        <f t="shared" si="2"/>
        <v>340</v>
      </c>
      <c r="H5" s="23">
        <f t="shared" si="3"/>
        <v>0</v>
      </c>
      <c r="K5" s="15"/>
    </row>
    <row r="6" spans="1:13" x14ac:dyDescent="0.25">
      <c r="A6" s="24" t="s">
        <v>11</v>
      </c>
      <c r="B6" s="25">
        <v>5</v>
      </c>
      <c r="C6" s="22">
        <v>240</v>
      </c>
      <c r="D6" s="19">
        <v>0</v>
      </c>
      <c r="E6" s="20">
        <f t="shared" si="0"/>
        <v>240</v>
      </c>
      <c r="F6" s="21">
        <f t="shared" si="1"/>
        <v>1200</v>
      </c>
      <c r="G6" s="22">
        <f t="shared" si="2"/>
        <v>1200</v>
      </c>
      <c r="H6" s="23">
        <f t="shared" si="3"/>
        <v>0</v>
      </c>
    </row>
    <row r="7" spans="1:13" x14ac:dyDescent="0.25">
      <c r="A7" s="26" t="s">
        <v>12</v>
      </c>
      <c r="B7" s="27">
        <v>14</v>
      </c>
      <c r="C7" s="28">
        <v>250</v>
      </c>
      <c r="D7" s="29">
        <v>0</v>
      </c>
      <c r="E7" s="30">
        <f t="shared" si="0"/>
        <v>250</v>
      </c>
      <c r="F7" s="27">
        <f t="shared" si="1"/>
        <v>3500</v>
      </c>
      <c r="G7" s="28">
        <f t="shared" si="2"/>
        <v>3500</v>
      </c>
      <c r="H7" s="31">
        <f t="shared" si="3"/>
        <v>0</v>
      </c>
    </row>
    <row r="8" spans="1:13" x14ac:dyDescent="0.25">
      <c r="A8" s="33" t="s">
        <v>13</v>
      </c>
      <c r="B8" s="34">
        <v>12</v>
      </c>
      <c r="C8" s="35">
        <v>250</v>
      </c>
      <c r="D8" s="36">
        <v>250</v>
      </c>
      <c r="E8" s="37">
        <f t="shared" si="0"/>
        <v>500</v>
      </c>
      <c r="F8" s="27">
        <f t="shared" si="1"/>
        <v>6000</v>
      </c>
      <c r="G8" s="28">
        <f t="shared" si="2"/>
        <v>3000</v>
      </c>
      <c r="H8" s="31">
        <f t="shared" si="3"/>
        <v>3000</v>
      </c>
    </row>
    <row r="9" spans="1:13" x14ac:dyDescent="0.25">
      <c r="A9" s="38" t="s">
        <v>14</v>
      </c>
      <c r="B9" s="27">
        <v>5</v>
      </c>
      <c r="C9" s="35">
        <v>200</v>
      </c>
      <c r="D9" s="36">
        <v>200</v>
      </c>
      <c r="E9" s="37">
        <f t="shared" si="0"/>
        <v>400</v>
      </c>
      <c r="F9" s="34">
        <f>E9*B9</f>
        <v>2000</v>
      </c>
      <c r="G9" s="35">
        <f>C9*B9</f>
        <v>1000</v>
      </c>
      <c r="H9" s="39">
        <f>D9*B9</f>
        <v>1000</v>
      </c>
    </row>
    <row r="10" spans="1:13" ht="14.25" customHeight="1" x14ac:dyDescent="0.25">
      <c r="A10" s="40" t="s">
        <v>15</v>
      </c>
      <c r="B10" s="41">
        <v>7</v>
      </c>
      <c r="C10" s="42">
        <v>200</v>
      </c>
      <c r="D10" s="43">
        <v>200</v>
      </c>
      <c r="E10" s="37">
        <f t="shared" si="0"/>
        <v>400</v>
      </c>
      <c r="F10" s="44">
        <f>E10*B10</f>
        <v>2800</v>
      </c>
      <c r="G10" s="35">
        <f>C10*B10</f>
        <v>1400</v>
      </c>
      <c r="H10" s="39">
        <f>D10*B10</f>
        <v>1400</v>
      </c>
    </row>
    <row r="11" spans="1:13" ht="14.25" customHeight="1" x14ac:dyDescent="0.25">
      <c r="A11" s="45" t="s">
        <v>16</v>
      </c>
      <c r="B11" s="44">
        <v>3</v>
      </c>
      <c r="C11" s="35">
        <v>180</v>
      </c>
      <c r="D11" s="36">
        <v>20</v>
      </c>
      <c r="E11" s="37">
        <f t="shared" si="0"/>
        <v>200</v>
      </c>
      <c r="F11" s="34">
        <f>E11*B11</f>
        <v>600</v>
      </c>
      <c r="G11" s="35">
        <f>C11*B11</f>
        <v>540</v>
      </c>
      <c r="H11" s="39">
        <f>D11*B11</f>
        <v>60</v>
      </c>
    </row>
    <row r="12" spans="1:13" ht="14.25" customHeight="1" x14ac:dyDescent="0.25">
      <c r="A12" s="38" t="s">
        <v>17</v>
      </c>
      <c r="B12" s="34">
        <v>6</v>
      </c>
      <c r="C12" s="35">
        <v>180</v>
      </c>
      <c r="D12" s="36">
        <v>20</v>
      </c>
      <c r="E12" s="37">
        <f t="shared" si="0"/>
        <v>200</v>
      </c>
      <c r="F12" s="27">
        <f t="shared" si="1"/>
        <v>1200</v>
      </c>
      <c r="G12" s="28">
        <f t="shared" si="2"/>
        <v>1080</v>
      </c>
      <c r="H12" s="31">
        <f t="shared" si="3"/>
        <v>120</v>
      </c>
    </row>
    <row r="13" spans="1:13" x14ac:dyDescent="0.25">
      <c r="A13" s="33" t="s">
        <v>18</v>
      </c>
      <c r="B13" s="34">
        <v>11</v>
      </c>
      <c r="C13" s="35">
        <v>205</v>
      </c>
      <c r="D13" s="36">
        <v>195</v>
      </c>
      <c r="E13" s="37">
        <f t="shared" si="0"/>
        <v>400</v>
      </c>
      <c r="F13" s="27">
        <f t="shared" si="1"/>
        <v>4400</v>
      </c>
      <c r="G13" s="28">
        <f t="shared" si="2"/>
        <v>2255</v>
      </c>
      <c r="H13" s="31">
        <f t="shared" si="3"/>
        <v>2145</v>
      </c>
    </row>
    <row r="14" spans="1:13" ht="14.4" thickBot="1" x14ac:dyDescent="0.3">
      <c r="A14" s="33" t="s">
        <v>19</v>
      </c>
      <c r="B14" s="34">
        <v>12</v>
      </c>
      <c r="C14" s="35">
        <v>205</v>
      </c>
      <c r="D14" s="36">
        <v>195</v>
      </c>
      <c r="E14" s="37">
        <f t="shared" si="0"/>
        <v>400</v>
      </c>
      <c r="F14" s="27">
        <f t="shared" si="1"/>
        <v>4800</v>
      </c>
      <c r="G14" s="28">
        <f t="shared" si="2"/>
        <v>2460</v>
      </c>
      <c r="H14" s="31">
        <f t="shared" si="3"/>
        <v>2340</v>
      </c>
    </row>
    <row r="15" spans="1:13" ht="14.25" customHeight="1" x14ac:dyDescent="0.25">
      <c r="A15" s="8" t="s">
        <v>20</v>
      </c>
      <c r="B15" s="9">
        <v>3</v>
      </c>
      <c r="C15" s="10">
        <v>170</v>
      </c>
      <c r="D15" s="11">
        <v>0</v>
      </c>
      <c r="E15" s="12">
        <f t="shared" si="0"/>
        <v>170</v>
      </c>
      <c r="F15" s="13">
        <f t="shared" si="1"/>
        <v>510</v>
      </c>
      <c r="G15" s="10">
        <f t="shared" si="2"/>
        <v>510</v>
      </c>
      <c r="H15" s="14">
        <f t="shared" si="3"/>
        <v>0</v>
      </c>
    </row>
    <row r="16" spans="1:13" ht="14.25" customHeight="1" x14ac:dyDescent="0.25">
      <c r="A16" s="24" t="s">
        <v>21</v>
      </c>
      <c r="B16" s="25">
        <v>25</v>
      </c>
      <c r="C16" s="22">
        <v>240</v>
      </c>
      <c r="D16" s="19">
        <v>0</v>
      </c>
      <c r="E16" s="20">
        <f t="shared" si="0"/>
        <v>240</v>
      </c>
      <c r="F16" s="21">
        <f t="shared" si="1"/>
        <v>6000</v>
      </c>
      <c r="G16" s="22">
        <f t="shared" si="2"/>
        <v>6000</v>
      </c>
      <c r="H16" s="23">
        <f t="shared" si="3"/>
        <v>0</v>
      </c>
    </row>
    <row r="17" spans="1:13" ht="14.25" customHeight="1" x14ac:dyDescent="0.25">
      <c r="A17" s="24" t="s">
        <v>22</v>
      </c>
      <c r="B17" s="25">
        <v>2</v>
      </c>
      <c r="C17" s="22">
        <v>240</v>
      </c>
      <c r="D17" s="19">
        <v>0</v>
      </c>
      <c r="E17" s="20">
        <f t="shared" si="0"/>
        <v>240</v>
      </c>
      <c r="F17" s="21">
        <f t="shared" si="1"/>
        <v>480</v>
      </c>
      <c r="G17" s="22">
        <f t="shared" si="2"/>
        <v>480</v>
      </c>
      <c r="H17" s="23">
        <f t="shared" si="3"/>
        <v>0</v>
      </c>
    </row>
    <row r="18" spans="1:13" ht="14.25" customHeight="1" thickBot="1" x14ac:dyDescent="0.3">
      <c r="A18" s="46" t="s">
        <v>23</v>
      </c>
      <c r="B18" s="47">
        <v>0</v>
      </c>
      <c r="C18" s="48">
        <v>170</v>
      </c>
      <c r="D18" s="49">
        <v>0</v>
      </c>
      <c r="E18" s="50">
        <f t="shared" si="0"/>
        <v>170</v>
      </c>
      <c r="F18" s="51">
        <f t="shared" si="1"/>
        <v>0</v>
      </c>
      <c r="G18" s="48">
        <f t="shared" si="2"/>
        <v>0</v>
      </c>
      <c r="H18" s="52">
        <f t="shared" si="3"/>
        <v>0</v>
      </c>
    </row>
    <row r="19" spans="1:13" ht="14.25" customHeight="1" x14ac:dyDescent="0.25">
      <c r="A19" s="33" t="s">
        <v>24</v>
      </c>
      <c r="B19" s="34">
        <v>10</v>
      </c>
      <c r="C19" s="35">
        <v>250</v>
      </c>
      <c r="D19" s="36">
        <v>0</v>
      </c>
      <c r="E19" s="37">
        <f t="shared" si="0"/>
        <v>250</v>
      </c>
      <c r="F19" s="27">
        <f>E19*B19</f>
        <v>2500</v>
      </c>
      <c r="G19" s="28">
        <f>C19*B19</f>
        <v>2500</v>
      </c>
      <c r="H19" s="31">
        <f>D19*B19</f>
        <v>0</v>
      </c>
    </row>
    <row r="20" spans="1:13" ht="14.25" customHeight="1" x14ac:dyDescent="0.25">
      <c r="A20" s="38" t="s">
        <v>25</v>
      </c>
      <c r="B20" s="34">
        <v>23</v>
      </c>
      <c r="C20" s="35">
        <v>205</v>
      </c>
      <c r="D20" s="36">
        <v>195</v>
      </c>
      <c r="E20" s="37">
        <f t="shared" si="0"/>
        <v>400</v>
      </c>
      <c r="F20" s="27">
        <f t="shared" si="1"/>
        <v>9200</v>
      </c>
      <c r="G20" s="28">
        <f t="shared" si="2"/>
        <v>4715</v>
      </c>
      <c r="H20" s="31">
        <f t="shared" si="3"/>
        <v>4485</v>
      </c>
    </row>
    <row r="21" spans="1:13" ht="14.25" customHeight="1" x14ac:dyDescent="0.25">
      <c r="A21" s="38" t="s">
        <v>26</v>
      </c>
      <c r="B21" s="34">
        <v>21</v>
      </c>
      <c r="C21" s="35">
        <v>180</v>
      </c>
      <c r="D21" s="36">
        <v>20</v>
      </c>
      <c r="E21" s="37">
        <f t="shared" si="0"/>
        <v>200</v>
      </c>
      <c r="F21" s="27">
        <f t="shared" si="1"/>
        <v>4200</v>
      </c>
      <c r="G21" s="28">
        <f t="shared" si="2"/>
        <v>3780</v>
      </c>
      <c r="H21" s="31">
        <f t="shared" si="3"/>
        <v>420</v>
      </c>
    </row>
    <row r="22" spans="1:13" ht="15" customHeight="1" x14ac:dyDescent="0.25">
      <c r="A22" s="33" t="s">
        <v>27</v>
      </c>
      <c r="B22" s="34">
        <v>4</v>
      </c>
      <c r="C22" s="35">
        <v>180</v>
      </c>
      <c r="D22" s="36">
        <v>20</v>
      </c>
      <c r="E22" s="37">
        <f t="shared" si="0"/>
        <v>200</v>
      </c>
      <c r="F22" s="27">
        <f t="shared" si="1"/>
        <v>800</v>
      </c>
      <c r="G22" s="28">
        <f t="shared" si="2"/>
        <v>720</v>
      </c>
      <c r="H22" s="31">
        <f t="shared" si="3"/>
        <v>80</v>
      </c>
    </row>
    <row r="23" spans="1:13" ht="15" customHeight="1" x14ac:dyDescent="0.25">
      <c r="A23" s="53" t="s">
        <v>28</v>
      </c>
      <c r="B23" s="27">
        <v>5</v>
      </c>
      <c r="C23" s="35">
        <v>205</v>
      </c>
      <c r="D23" s="36">
        <v>195</v>
      </c>
      <c r="E23" s="37">
        <f t="shared" si="0"/>
        <v>400</v>
      </c>
      <c r="F23" s="34">
        <f>E23*B23</f>
        <v>2000</v>
      </c>
      <c r="G23" s="35">
        <f>C23*B23</f>
        <v>1025</v>
      </c>
      <c r="H23" s="39">
        <f>D23*B23</f>
        <v>975</v>
      </c>
      <c r="K23" s="32"/>
    </row>
    <row r="24" spans="1:13" ht="15" customHeight="1" x14ac:dyDescent="0.25">
      <c r="A24" s="53" t="s">
        <v>29</v>
      </c>
      <c r="B24" s="27">
        <v>8</v>
      </c>
      <c r="C24" s="35">
        <v>250</v>
      </c>
      <c r="D24" s="36">
        <v>250</v>
      </c>
      <c r="E24" s="37">
        <f t="shared" si="0"/>
        <v>500</v>
      </c>
      <c r="F24" s="34">
        <f t="shared" si="1"/>
        <v>4000</v>
      </c>
      <c r="G24" s="35">
        <f t="shared" si="2"/>
        <v>2000</v>
      </c>
      <c r="H24" s="39">
        <f t="shared" si="3"/>
        <v>2000</v>
      </c>
      <c r="K24" s="32"/>
      <c r="L24" s="32"/>
      <c r="M24" s="32"/>
    </row>
    <row r="25" spans="1:13" ht="15" customHeight="1" x14ac:dyDescent="0.25">
      <c r="A25" s="33" t="s">
        <v>30</v>
      </c>
      <c r="B25" s="41">
        <v>3</v>
      </c>
      <c r="C25" s="42">
        <v>200</v>
      </c>
      <c r="D25" s="43">
        <v>200</v>
      </c>
      <c r="E25" s="37">
        <f t="shared" si="0"/>
        <v>400</v>
      </c>
      <c r="F25" s="44">
        <f>E25*B25</f>
        <v>1200</v>
      </c>
      <c r="G25" s="35">
        <f>C25*B25</f>
        <v>600</v>
      </c>
      <c r="H25" s="39">
        <f>D25*B25</f>
        <v>600</v>
      </c>
      <c r="K25" s="32"/>
      <c r="L25" s="32"/>
      <c r="M25" s="32"/>
    </row>
    <row r="26" spans="1:13" ht="15" customHeight="1" x14ac:dyDescent="0.25">
      <c r="A26" s="45" t="s">
        <v>31</v>
      </c>
      <c r="B26" s="44">
        <v>7</v>
      </c>
      <c r="C26" s="35">
        <v>200</v>
      </c>
      <c r="D26" s="36">
        <v>200</v>
      </c>
      <c r="E26" s="37">
        <f t="shared" si="0"/>
        <v>400</v>
      </c>
      <c r="F26" s="34">
        <f>E26*B26</f>
        <v>2800</v>
      </c>
      <c r="G26" s="35">
        <f>C26*B26</f>
        <v>1400</v>
      </c>
      <c r="H26" s="39">
        <f>D26*B26</f>
        <v>1400</v>
      </c>
    </row>
    <row r="27" spans="1:13" ht="15" customHeight="1" x14ac:dyDescent="0.25">
      <c r="A27" s="33" t="s">
        <v>32</v>
      </c>
      <c r="B27" s="44">
        <v>2</v>
      </c>
      <c r="C27" s="35">
        <v>600</v>
      </c>
      <c r="D27" s="36">
        <v>400</v>
      </c>
      <c r="E27" s="37">
        <f t="shared" si="0"/>
        <v>1000</v>
      </c>
      <c r="F27" s="27">
        <f t="shared" ref="F27:F33" si="4">E27*B27</f>
        <v>2000</v>
      </c>
      <c r="G27" s="28">
        <f t="shared" ref="G27:G54" si="5">C27*B27</f>
        <v>1200</v>
      </c>
      <c r="H27" s="31">
        <f>D27*B27</f>
        <v>800</v>
      </c>
    </row>
    <row r="28" spans="1:13" ht="15" customHeight="1" thickBot="1" x14ac:dyDescent="0.3">
      <c r="A28" s="33" t="s">
        <v>33</v>
      </c>
      <c r="B28" s="54">
        <v>10</v>
      </c>
      <c r="C28" s="28">
        <v>1200</v>
      </c>
      <c r="D28" s="29">
        <v>600</v>
      </c>
      <c r="E28" s="37">
        <f>C28+D28</f>
        <v>1800</v>
      </c>
      <c r="F28" s="34">
        <f t="shared" si="4"/>
        <v>18000</v>
      </c>
      <c r="G28" s="35">
        <f t="shared" si="5"/>
        <v>12000</v>
      </c>
      <c r="H28" s="39">
        <f>D28*B28</f>
        <v>6000</v>
      </c>
    </row>
    <row r="29" spans="1:13" ht="15" customHeight="1" x14ac:dyDescent="0.25">
      <c r="A29" s="55" t="s">
        <v>34</v>
      </c>
      <c r="B29" s="9">
        <v>0</v>
      </c>
      <c r="C29" s="10">
        <v>170</v>
      </c>
      <c r="D29" s="11">
        <v>0</v>
      </c>
      <c r="E29" s="12">
        <f t="shared" ref="E29:E57" si="6">C29+D29</f>
        <v>170</v>
      </c>
      <c r="F29" s="13">
        <f>E29*B29</f>
        <v>0</v>
      </c>
      <c r="G29" s="10">
        <f>C29*B29</f>
        <v>0</v>
      </c>
      <c r="H29" s="14">
        <f t="shared" ref="H29:H34" si="7">D29*B29</f>
        <v>0</v>
      </c>
      <c r="J29" s="56"/>
    </row>
    <row r="30" spans="1:13" ht="15" customHeight="1" x14ac:dyDescent="0.25">
      <c r="A30" s="57" t="s">
        <v>35</v>
      </c>
      <c r="B30" s="25">
        <v>23</v>
      </c>
      <c r="C30" s="22">
        <v>240</v>
      </c>
      <c r="D30" s="19">
        <v>0</v>
      </c>
      <c r="E30" s="20">
        <f t="shared" si="6"/>
        <v>240</v>
      </c>
      <c r="F30" s="21">
        <f>E30*B30</f>
        <v>5520</v>
      </c>
      <c r="G30" s="22">
        <f>C30*B30</f>
        <v>5520</v>
      </c>
      <c r="H30" s="23">
        <f t="shared" si="7"/>
        <v>0</v>
      </c>
    </row>
    <row r="31" spans="1:13" ht="14.25" customHeight="1" x14ac:dyDescent="0.25">
      <c r="A31" s="57" t="s">
        <v>36</v>
      </c>
      <c r="B31" s="25">
        <v>1</v>
      </c>
      <c r="C31" s="22">
        <v>240</v>
      </c>
      <c r="D31" s="19">
        <v>0</v>
      </c>
      <c r="E31" s="20">
        <f t="shared" si="6"/>
        <v>240</v>
      </c>
      <c r="F31" s="21">
        <f>E31*B31</f>
        <v>240</v>
      </c>
      <c r="G31" s="22">
        <f>C31*B31</f>
        <v>240</v>
      </c>
      <c r="H31" s="23">
        <f t="shared" si="7"/>
        <v>0</v>
      </c>
      <c r="J31" s="56"/>
    </row>
    <row r="32" spans="1:13" ht="14.25" customHeight="1" thickBot="1" x14ac:dyDescent="0.3">
      <c r="A32" s="58" t="s">
        <v>37</v>
      </c>
      <c r="B32" s="47">
        <v>1</v>
      </c>
      <c r="C32" s="48">
        <v>170</v>
      </c>
      <c r="D32" s="49">
        <v>0</v>
      </c>
      <c r="E32" s="50">
        <f t="shared" si="6"/>
        <v>170</v>
      </c>
      <c r="F32" s="51">
        <f>E32*B32</f>
        <v>170</v>
      </c>
      <c r="G32" s="48">
        <f>C32*B32</f>
        <v>170</v>
      </c>
      <c r="H32" s="52">
        <f t="shared" si="7"/>
        <v>0</v>
      </c>
    </row>
    <row r="33" spans="1:15" ht="14.25" customHeight="1" x14ac:dyDescent="0.25">
      <c r="A33" s="59" t="s">
        <v>24</v>
      </c>
      <c r="B33" s="34">
        <v>10</v>
      </c>
      <c r="C33" s="35">
        <v>250</v>
      </c>
      <c r="D33" s="36">
        <v>0</v>
      </c>
      <c r="E33" s="37">
        <f t="shared" si="6"/>
        <v>250</v>
      </c>
      <c r="F33" s="27">
        <f t="shared" si="4"/>
        <v>2500</v>
      </c>
      <c r="G33" s="28">
        <f t="shared" si="5"/>
        <v>2500</v>
      </c>
      <c r="H33" s="31">
        <f t="shared" si="7"/>
        <v>0</v>
      </c>
    </row>
    <row r="34" spans="1:15" ht="15" customHeight="1" x14ac:dyDescent="0.25">
      <c r="A34" s="33" t="s">
        <v>38</v>
      </c>
      <c r="B34" s="34">
        <v>3</v>
      </c>
      <c r="C34" s="35">
        <v>180</v>
      </c>
      <c r="D34" s="36">
        <v>20</v>
      </c>
      <c r="E34" s="37">
        <f>C34+D34</f>
        <v>200</v>
      </c>
      <c r="F34" s="27">
        <f>E34*B34</f>
        <v>600</v>
      </c>
      <c r="G34" s="28">
        <f>C34*B34</f>
        <v>540</v>
      </c>
      <c r="H34" s="31">
        <f t="shared" si="7"/>
        <v>60</v>
      </c>
    </row>
    <row r="35" spans="1:15" ht="14.25" customHeight="1" x14ac:dyDescent="0.25">
      <c r="A35" s="59" t="s">
        <v>39</v>
      </c>
      <c r="B35" s="41">
        <v>14</v>
      </c>
      <c r="C35" s="42">
        <v>440</v>
      </c>
      <c r="D35" s="43">
        <v>210</v>
      </c>
      <c r="E35" s="37">
        <f t="shared" si="6"/>
        <v>650</v>
      </c>
      <c r="F35" s="44">
        <f>E35*B35</f>
        <v>9100</v>
      </c>
      <c r="G35" s="35">
        <f t="shared" si="5"/>
        <v>6160</v>
      </c>
      <c r="H35" s="39">
        <f>D35*B35</f>
        <v>2940</v>
      </c>
    </row>
    <row r="36" spans="1:15" ht="15" customHeight="1" x14ac:dyDescent="0.25">
      <c r="A36" s="59" t="s">
        <v>40</v>
      </c>
      <c r="B36" s="41">
        <v>21</v>
      </c>
      <c r="C36" s="42">
        <v>180</v>
      </c>
      <c r="D36" s="43">
        <v>20</v>
      </c>
      <c r="E36" s="37">
        <f t="shared" si="6"/>
        <v>200</v>
      </c>
      <c r="F36" s="44">
        <f>E36*B36</f>
        <v>4200</v>
      </c>
      <c r="G36" s="35">
        <f t="shared" si="5"/>
        <v>3780</v>
      </c>
      <c r="H36" s="39">
        <f>D36*B36</f>
        <v>420</v>
      </c>
    </row>
    <row r="37" spans="1:15" ht="15" customHeight="1" x14ac:dyDescent="0.25">
      <c r="A37" s="33" t="s">
        <v>41</v>
      </c>
      <c r="B37" s="34">
        <v>5</v>
      </c>
      <c r="C37" s="35">
        <v>305</v>
      </c>
      <c r="D37" s="36">
        <v>95</v>
      </c>
      <c r="E37" s="37">
        <f t="shared" si="6"/>
        <v>400</v>
      </c>
      <c r="F37" s="27">
        <f t="shared" ref="F37:F58" si="8">E37*B37</f>
        <v>2000</v>
      </c>
      <c r="G37" s="28">
        <f t="shared" si="5"/>
        <v>1525</v>
      </c>
      <c r="H37" s="31">
        <f t="shared" ref="H37:H54" si="9">D37*B37</f>
        <v>475</v>
      </c>
    </row>
    <row r="38" spans="1:15" ht="15" customHeight="1" x14ac:dyDescent="0.25">
      <c r="A38" s="33" t="s">
        <v>42</v>
      </c>
      <c r="B38" s="34">
        <v>5</v>
      </c>
      <c r="C38" s="35">
        <v>305</v>
      </c>
      <c r="D38" s="36">
        <v>95</v>
      </c>
      <c r="E38" s="37">
        <f t="shared" si="6"/>
        <v>400</v>
      </c>
      <c r="F38" s="27">
        <f t="shared" si="8"/>
        <v>2000</v>
      </c>
      <c r="G38" s="28">
        <f t="shared" si="5"/>
        <v>1525</v>
      </c>
      <c r="H38" s="31">
        <f t="shared" si="9"/>
        <v>475</v>
      </c>
    </row>
    <row r="39" spans="1:15" ht="15" customHeight="1" x14ac:dyDescent="0.25">
      <c r="A39" s="33" t="s">
        <v>43</v>
      </c>
      <c r="B39" s="34">
        <v>9</v>
      </c>
      <c r="C39" s="35">
        <v>440</v>
      </c>
      <c r="D39" s="36">
        <v>210</v>
      </c>
      <c r="E39" s="37">
        <f>C39+D39</f>
        <v>650</v>
      </c>
      <c r="F39" s="27">
        <f>E39*B39</f>
        <v>5850</v>
      </c>
      <c r="G39" s="28">
        <f>C39*B39</f>
        <v>3960</v>
      </c>
      <c r="H39" s="31">
        <f>D39*B39</f>
        <v>1890</v>
      </c>
    </row>
    <row r="40" spans="1:15" ht="15" customHeight="1" x14ac:dyDescent="0.25">
      <c r="A40" s="33" t="s">
        <v>44</v>
      </c>
      <c r="B40" s="34">
        <v>9</v>
      </c>
      <c r="C40" s="35">
        <v>600</v>
      </c>
      <c r="D40" s="36">
        <v>600</v>
      </c>
      <c r="E40" s="37">
        <f>C40+D40</f>
        <v>1200</v>
      </c>
      <c r="F40" s="27">
        <f>E40*B40</f>
        <v>10800</v>
      </c>
      <c r="G40" s="28">
        <f>C40*B40</f>
        <v>5400</v>
      </c>
      <c r="H40" s="31">
        <f>D40*B40</f>
        <v>5400</v>
      </c>
    </row>
    <row r="41" spans="1:15" ht="15" customHeight="1" x14ac:dyDescent="0.25">
      <c r="A41" s="33" t="s">
        <v>45</v>
      </c>
      <c r="B41" s="34">
        <v>5</v>
      </c>
      <c r="C41" s="35">
        <v>250</v>
      </c>
      <c r="D41" s="36">
        <v>250</v>
      </c>
      <c r="E41" s="37">
        <f t="shared" si="6"/>
        <v>500</v>
      </c>
      <c r="F41" s="27">
        <f t="shared" si="8"/>
        <v>2500</v>
      </c>
      <c r="G41" s="28">
        <f t="shared" si="5"/>
        <v>1250</v>
      </c>
      <c r="H41" s="31">
        <f t="shared" si="9"/>
        <v>1250</v>
      </c>
    </row>
    <row r="42" spans="1:15" ht="15.75" customHeight="1" x14ac:dyDescent="0.25">
      <c r="A42" s="33" t="s">
        <v>46</v>
      </c>
      <c r="B42" s="34">
        <v>5</v>
      </c>
      <c r="C42" s="35">
        <v>500</v>
      </c>
      <c r="D42" s="36">
        <v>500</v>
      </c>
      <c r="E42" s="37">
        <f t="shared" si="6"/>
        <v>1000</v>
      </c>
      <c r="F42" s="27">
        <f>E42*B42</f>
        <v>5000</v>
      </c>
      <c r="G42" s="28">
        <f t="shared" si="5"/>
        <v>2500</v>
      </c>
      <c r="H42" s="31">
        <f t="shared" si="9"/>
        <v>2500</v>
      </c>
    </row>
    <row r="43" spans="1:15" x14ac:dyDescent="0.25">
      <c r="A43" s="33" t="s">
        <v>47</v>
      </c>
      <c r="B43" s="34">
        <v>9</v>
      </c>
      <c r="C43" s="35">
        <v>400</v>
      </c>
      <c r="D43" s="36">
        <v>400</v>
      </c>
      <c r="E43" s="37">
        <f t="shared" si="6"/>
        <v>800</v>
      </c>
      <c r="F43" s="27">
        <f>E43*B43</f>
        <v>7200</v>
      </c>
      <c r="G43" s="28">
        <f t="shared" si="5"/>
        <v>3600</v>
      </c>
      <c r="H43" s="31">
        <f t="shared" si="9"/>
        <v>3600</v>
      </c>
    </row>
    <row r="44" spans="1:15" ht="14.25" customHeight="1" thickBot="1" x14ac:dyDescent="0.3">
      <c r="A44" s="33" t="s">
        <v>48</v>
      </c>
      <c r="B44" s="34">
        <v>11</v>
      </c>
      <c r="C44" s="35">
        <v>1100</v>
      </c>
      <c r="D44" s="36">
        <v>500</v>
      </c>
      <c r="E44" s="37">
        <f t="shared" si="6"/>
        <v>1600</v>
      </c>
      <c r="F44" s="27">
        <f t="shared" si="8"/>
        <v>17600</v>
      </c>
      <c r="G44" s="28">
        <f t="shared" si="5"/>
        <v>12100</v>
      </c>
      <c r="H44" s="31">
        <f t="shared" si="9"/>
        <v>5500</v>
      </c>
    </row>
    <row r="45" spans="1:15" ht="14.25" customHeight="1" x14ac:dyDescent="0.25">
      <c r="A45" s="55" t="s">
        <v>49</v>
      </c>
      <c r="B45" s="13">
        <v>0</v>
      </c>
      <c r="C45" s="10">
        <v>170</v>
      </c>
      <c r="D45" s="11">
        <v>0</v>
      </c>
      <c r="E45" s="12">
        <f t="shared" si="6"/>
        <v>170</v>
      </c>
      <c r="F45" s="13">
        <f t="shared" si="8"/>
        <v>0</v>
      </c>
      <c r="G45" s="10">
        <f t="shared" si="5"/>
        <v>0</v>
      </c>
      <c r="H45" s="14">
        <f t="shared" si="9"/>
        <v>0</v>
      </c>
      <c r="O45"/>
    </row>
    <row r="46" spans="1:15" ht="14.25" customHeight="1" x14ac:dyDescent="0.25">
      <c r="A46" s="57" t="s">
        <v>50</v>
      </c>
      <c r="B46" s="21">
        <v>13</v>
      </c>
      <c r="C46" s="22">
        <v>240</v>
      </c>
      <c r="D46" s="19">
        <v>0</v>
      </c>
      <c r="E46" s="20">
        <f t="shared" si="6"/>
        <v>240</v>
      </c>
      <c r="F46" s="21">
        <f t="shared" si="8"/>
        <v>3120</v>
      </c>
      <c r="G46" s="22">
        <f t="shared" si="5"/>
        <v>3120</v>
      </c>
      <c r="H46" s="23">
        <f t="shared" si="9"/>
        <v>0</v>
      </c>
    </row>
    <row r="47" spans="1:15" ht="15" customHeight="1" x14ac:dyDescent="0.25">
      <c r="A47" s="57" t="s">
        <v>51</v>
      </c>
      <c r="B47" s="21">
        <v>0</v>
      </c>
      <c r="C47" s="22">
        <v>240</v>
      </c>
      <c r="D47" s="19">
        <v>0</v>
      </c>
      <c r="E47" s="20">
        <f t="shared" si="6"/>
        <v>240</v>
      </c>
      <c r="F47" s="21">
        <f t="shared" si="8"/>
        <v>0</v>
      </c>
      <c r="G47" s="22">
        <f t="shared" si="5"/>
        <v>0</v>
      </c>
      <c r="H47" s="23">
        <f t="shared" si="9"/>
        <v>0</v>
      </c>
    </row>
    <row r="48" spans="1:15" ht="15" customHeight="1" thickBot="1" x14ac:dyDescent="0.3">
      <c r="A48" s="58" t="s">
        <v>52</v>
      </c>
      <c r="B48" s="51">
        <v>0</v>
      </c>
      <c r="C48" s="48">
        <v>170</v>
      </c>
      <c r="D48" s="49">
        <v>0</v>
      </c>
      <c r="E48" s="50">
        <f t="shared" si="6"/>
        <v>170</v>
      </c>
      <c r="F48" s="51">
        <f t="shared" si="8"/>
        <v>0</v>
      </c>
      <c r="G48" s="48">
        <f t="shared" si="5"/>
        <v>0</v>
      </c>
      <c r="H48" s="52">
        <f t="shared" si="9"/>
        <v>0</v>
      </c>
    </row>
    <row r="49" spans="1:10" x14ac:dyDescent="0.25">
      <c r="A49" s="33" t="s">
        <v>24</v>
      </c>
      <c r="B49" s="34">
        <v>1</v>
      </c>
      <c r="C49" s="35">
        <v>250</v>
      </c>
      <c r="D49" s="36">
        <v>0</v>
      </c>
      <c r="E49" s="37">
        <f t="shared" si="6"/>
        <v>250</v>
      </c>
      <c r="F49" s="44">
        <f>E49*B49</f>
        <v>250</v>
      </c>
      <c r="G49" s="35">
        <f t="shared" si="5"/>
        <v>250</v>
      </c>
      <c r="H49" s="39">
        <f t="shared" si="9"/>
        <v>0</v>
      </c>
      <c r="J49" s="1"/>
    </row>
    <row r="50" spans="1:10" x14ac:dyDescent="0.25">
      <c r="A50" s="59" t="s">
        <v>53</v>
      </c>
      <c r="B50" s="34">
        <v>4</v>
      </c>
      <c r="C50" s="35">
        <v>180</v>
      </c>
      <c r="D50" s="36">
        <v>20</v>
      </c>
      <c r="E50" s="37">
        <f t="shared" si="6"/>
        <v>200</v>
      </c>
      <c r="F50" s="44">
        <f>E50*B50</f>
        <v>800</v>
      </c>
      <c r="G50" s="35">
        <f t="shared" si="5"/>
        <v>720</v>
      </c>
      <c r="H50" s="39">
        <f t="shared" si="9"/>
        <v>80</v>
      </c>
      <c r="J50" s="1"/>
    </row>
    <row r="51" spans="1:10" x14ac:dyDescent="0.25">
      <c r="A51" s="59" t="s">
        <v>54</v>
      </c>
      <c r="B51" s="34">
        <v>5</v>
      </c>
      <c r="C51" s="35">
        <v>180</v>
      </c>
      <c r="D51" s="36">
        <v>20</v>
      </c>
      <c r="E51" s="37">
        <f t="shared" si="6"/>
        <v>200</v>
      </c>
      <c r="F51" s="44">
        <f>E51*B51</f>
        <v>1000</v>
      </c>
      <c r="G51" s="35">
        <f t="shared" si="5"/>
        <v>900</v>
      </c>
      <c r="H51" s="39">
        <f t="shared" si="9"/>
        <v>100</v>
      </c>
      <c r="J51" s="1"/>
    </row>
    <row r="52" spans="1:10" x14ac:dyDescent="0.25">
      <c r="A52" s="59" t="s">
        <v>55</v>
      </c>
      <c r="B52" s="41">
        <v>13</v>
      </c>
      <c r="C52" s="42">
        <v>500</v>
      </c>
      <c r="D52" s="43">
        <v>500</v>
      </c>
      <c r="E52" s="37">
        <f t="shared" si="6"/>
        <v>1000</v>
      </c>
      <c r="F52" s="44">
        <f t="shared" si="8"/>
        <v>13000</v>
      </c>
      <c r="G52" s="35">
        <f t="shared" si="5"/>
        <v>6500</v>
      </c>
      <c r="H52" s="39">
        <f t="shared" si="9"/>
        <v>6500</v>
      </c>
      <c r="J52" s="1"/>
    </row>
    <row r="53" spans="1:10" x14ac:dyDescent="0.25">
      <c r="A53" s="59" t="s">
        <v>56</v>
      </c>
      <c r="B53" s="41">
        <v>8</v>
      </c>
      <c r="C53" s="42">
        <v>250</v>
      </c>
      <c r="D53" s="43">
        <v>250</v>
      </c>
      <c r="E53" s="37">
        <f t="shared" si="6"/>
        <v>500</v>
      </c>
      <c r="F53" s="44">
        <f t="shared" si="8"/>
        <v>4000</v>
      </c>
      <c r="G53" s="35">
        <f t="shared" si="5"/>
        <v>2000</v>
      </c>
      <c r="H53" s="39">
        <f t="shared" si="9"/>
        <v>2000</v>
      </c>
      <c r="J53" s="1"/>
    </row>
    <row r="54" spans="1:10" x14ac:dyDescent="0.25">
      <c r="A54" s="59" t="s">
        <v>57</v>
      </c>
      <c r="B54" s="41">
        <v>7</v>
      </c>
      <c r="C54" s="42">
        <v>500</v>
      </c>
      <c r="D54" s="43">
        <v>500</v>
      </c>
      <c r="E54" s="37">
        <f t="shared" si="6"/>
        <v>1000</v>
      </c>
      <c r="F54" s="44">
        <f t="shared" si="8"/>
        <v>7000</v>
      </c>
      <c r="G54" s="35">
        <f t="shared" si="5"/>
        <v>3500</v>
      </c>
      <c r="H54" s="39">
        <f t="shared" si="9"/>
        <v>3500</v>
      </c>
      <c r="J54" s="1"/>
    </row>
    <row r="55" spans="1:10" x14ac:dyDescent="0.25">
      <c r="A55" s="59" t="s">
        <v>58</v>
      </c>
      <c r="B55" s="41">
        <v>17</v>
      </c>
      <c r="C55" s="42">
        <v>200</v>
      </c>
      <c r="D55" s="43">
        <v>100</v>
      </c>
      <c r="E55" s="37">
        <f t="shared" si="6"/>
        <v>300</v>
      </c>
      <c r="F55" s="27">
        <f t="shared" si="8"/>
        <v>5100</v>
      </c>
      <c r="G55" s="28">
        <f>C55*B55</f>
        <v>3400</v>
      </c>
      <c r="H55" s="31">
        <f>D55*B55</f>
        <v>1700</v>
      </c>
      <c r="J55" s="1"/>
    </row>
    <row r="56" spans="1:10" x14ac:dyDescent="0.25">
      <c r="A56" s="59" t="s">
        <v>59</v>
      </c>
      <c r="B56" s="41">
        <v>17</v>
      </c>
      <c r="C56" s="42">
        <v>200</v>
      </c>
      <c r="D56" s="43">
        <v>100</v>
      </c>
      <c r="E56" s="37">
        <f t="shared" si="6"/>
        <v>300</v>
      </c>
      <c r="F56" s="27">
        <f t="shared" si="8"/>
        <v>5100</v>
      </c>
      <c r="G56" s="28">
        <f>C56*B56</f>
        <v>3400</v>
      </c>
      <c r="H56" s="31">
        <f>D56*B56</f>
        <v>1700</v>
      </c>
      <c r="J56" s="1"/>
    </row>
    <row r="57" spans="1:10" ht="14.4" thickBot="1" x14ac:dyDescent="0.3">
      <c r="A57" s="62" t="s">
        <v>60</v>
      </c>
      <c r="B57" s="63">
        <v>0</v>
      </c>
      <c r="C57" s="35">
        <v>50</v>
      </c>
      <c r="D57" s="35">
        <v>0</v>
      </c>
      <c r="E57" s="37">
        <f t="shared" si="6"/>
        <v>50</v>
      </c>
      <c r="F57" s="44">
        <f t="shared" si="8"/>
        <v>0</v>
      </c>
      <c r="G57" s="35">
        <f>C57*B57</f>
        <v>0</v>
      </c>
      <c r="H57" s="39">
        <f>D57*B57</f>
        <v>0</v>
      </c>
      <c r="I57" s="2"/>
      <c r="J57" s="1"/>
    </row>
    <row r="58" spans="1:10" ht="14.4" thickBot="1" x14ac:dyDescent="0.3">
      <c r="A58" s="64" t="s">
        <v>61</v>
      </c>
      <c r="B58" s="65">
        <v>11</v>
      </c>
      <c r="C58" s="66">
        <v>50</v>
      </c>
      <c r="D58" s="67">
        <v>0</v>
      </c>
      <c r="E58" s="64">
        <f>C58+D58</f>
        <v>50</v>
      </c>
      <c r="F58" s="65">
        <f t="shared" si="8"/>
        <v>550</v>
      </c>
      <c r="G58" s="66">
        <f>C58*B58</f>
        <v>550</v>
      </c>
      <c r="H58" s="68">
        <f>D58*B58</f>
        <v>0</v>
      </c>
      <c r="I58" s="2"/>
      <c r="J58" s="1"/>
    </row>
    <row r="59" spans="1:10" ht="14.4" thickBot="1" x14ac:dyDescent="0.3">
      <c r="B59" s="61">
        <f>SUM(B3:B58)</f>
        <v>515</v>
      </c>
      <c r="C59" s="7"/>
      <c r="D59" s="7"/>
      <c r="E59" s="7"/>
      <c r="F59" s="69">
        <f>SUM(F3:F58)</f>
        <v>215800</v>
      </c>
      <c r="G59" s="61">
        <f>SUM(G3:G58)</f>
        <v>148885</v>
      </c>
      <c r="H59" s="70">
        <f>SUM(H3:H58)</f>
        <v>66915</v>
      </c>
      <c r="J59" s="1"/>
    </row>
    <row r="60" spans="1:10" ht="14.4" thickBot="1" x14ac:dyDescent="0.3">
      <c r="H60" s="1" t="s">
        <v>62</v>
      </c>
      <c r="J60" s="1"/>
    </row>
    <row r="61" spans="1:10" x14ac:dyDescent="0.25">
      <c r="A61" s="71" t="s">
        <v>63</v>
      </c>
      <c r="B61" s="72">
        <v>24</v>
      </c>
      <c r="C61" s="73">
        <v>50</v>
      </c>
      <c r="D61" s="73">
        <v>0</v>
      </c>
      <c r="E61" s="73">
        <f t="shared" ref="E61:E64" si="10">C61+D61</f>
        <v>50</v>
      </c>
      <c r="F61" s="73">
        <f t="shared" ref="F61:F64" si="11">B61*C61</f>
        <v>1200</v>
      </c>
      <c r="G61" s="73">
        <f>F61</f>
        <v>1200</v>
      </c>
      <c r="H61" s="74">
        <f t="shared" ref="H61:H64" si="12">D61*B61</f>
        <v>0</v>
      </c>
      <c r="J61" s="1"/>
    </row>
    <row r="62" spans="1:10" ht="15" customHeight="1" x14ac:dyDescent="0.25">
      <c r="A62" s="62" t="s">
        <v>64</v>
      </c>
      <c r="B62" s="75">
        <v>1</v>
      </c>
      <c r="C62" s="35">
        <v>83450</v>
      </c>
      <c r="D62" s="35">
        <v>0</v>
      </c>
      <c r="E62" s="35">
        <f t="shared" si="10"/>
        <v>83450</v>
      </c>
      <c r="F62" s="35">
        <f t="shared" si="11"/>
        <v>83450</v>
      </c>
      <c r="G62" s="35">
        <f>F62</f>
        <v>83450</v>
      </c>
      <c r="H62" s="39">
        <f t="shared" si="12"/>
        <v>0</v>
      </c>
      <c r="J62" s="1"/>
    </row>
    <row r="63" spans="1:10" ht="15" customHeight="1" x14ac:dyDescent="0.25">
      <c r="A63" s="62" t="s">
        <v>65</v>
      </c>
      <c r="B63" s="75">
        <f>[3]קבלות!I182</f>
        <v>287</v>
      </c>
      <c r="C63" s="35">
        <v>35</v>
      </c>
      <c r="D63" s="35">
        <v>0</v>
      </c>
      <c r="E63" s="35">
        <f t="shared" si="10"/>
        <v>35</v>
      </c>
      <c r="F63" s="35">
        <f t="shared" si="11"/>
        <v>10045</v>
      </c>
      <c r="G63" s="35">
        <f t="shared" ref="G63:G64" si="13">F63</f>
        <v>10045</v>
      </c>
      <c r="H63" s="39">
        <f t="shared" si="12"/>
        <v>0</v>
      </c>
    </row>
    <row r="64" spans="1:10" ht="15" customHeight="1" thickBot="1" x14ac:dyDescent="0.3">
      <c r="A64" s="76" t="s">
        <v>66</v>
      </c>
      <c r="B64" s="77">
        <f>[3]קבלות!J182</f>
        <v>138</v>
      </c>
      <c r="C64" s="78">
        <v>50</v>
      </c>
      <c r="D64" s="78">
        <v>0</v>
      </c>
      <c r="E64" s="78">
        <f t="shared" si="10"/>
        <v>50</v>
      </c>
      <c r="F64" s="78">
        <f t="shared" si="11"/>
        <v>6900</v>
      </c>
      <c r="G64" s="78">
        <f t="shared" si="13"/>
        <v>6900</v>
      </c>
      <c r="H64" s="60">
        <f t="shared" si="12"/>
        <v>0</v>
      </c>
    </row>
    <row r="65" spans="1:10" ht="14.4" thickBot="1" x14ac:dyDescent="0.3">
      <c r="G65" s="61">
        <f>SUM(G61:G64)</f>
        <v>101595</v>
      </c>
      <c r="H65" s="70">
        <f>SUM(H61:H64)</f>
        <v>0</v>
      </c>
    </row>
    <row r="66" spans="1:10" ht="14.4" thickBot="1" x14ac:dyDescent="0.3">
      <c r="G66" s="7"/>
      <c r="H66" s="7"/>
    </row>
    <row r="67" spans="1:10" ht="14.4" thickBot="1" x14ac:dyDescent="0.3">
      <c r="A67" s="64" t="s">
        <v>68</v>
      </c>
      <c r="B67" s="80">
        <f>SUM(G7:G14)+SUM(G19:G28)+SUM(G33:G44)+SUM(G49:G57)</f>
        <v>110685</v>
      </c>
      <c r="C67" s="7"/>
      <c r="D67" s="7"/>
      <c r="E67" s="184" t="s">
        <v>67</v>
      </c>
      <c r="F67" s="185"/>
      <c r="G67" s="79">
        <f>G59+G65</f>
        <v>250480</v>
      </c>
      <c r="H67" s="79">
        <f>H59+H65</f>
        <v>66915</v>
      </c>
    </row>
    <row r="68" spans="1:10" ht="14.4" thickBot="1" x14ac:dyDescent="0.3">
      <c r="A68" s="64" t="s">
        <v>69</v>
      </c>
      <c r="B68" s="80">
        <f>SUM(G3:G6)+SUM(G15:G18)+SUM(G29:G32)+SUM(G45:G48)</f>
        <v>37650</v>
      </c>
      <c r="C68" s="7"/>
      <c r="D68" s="7"/>
      <c r="F68" s="2"/>
      <c r="J68" s="1"/>
    </row>
    <row r="69" spans="1:10" ht="14.4" thickBot="1" x14ac:dyDescent="0.3">
      <c r="A69" s="64" t="s">
        <v>70</v>
      </c>
      <c r="B69" s="80">
        <v>307</v>
      </c>
      <c r="C69" s="7"/>
      <c r="D69" s="7"/>
      <c r="F69" s="2"/>
      <c r="J69" s="1"/>
    </row>
    <row r="70" spans="1:10" ht="14.4" thickBot="1" x14ac:dyDescent="0.3">
      <c r="A70" s="64" t="s">
        <v>71</v>
      </c>
      <c r="B70" s="80">
        <v>163</v>
      </c>
    </row>
    <row r="77" spans="1:10" x14ac:dyDescent="0.25">
      <c r="A77" s="1"/>
    </row>
    <row r="78" spans="1:10" x14ac:dyDescent="0.25">
      <c r="A78" s="1"/>
      <c r="F78" s="2"/>
    </row>
    <row r="79" spans="1:10" x14ac:dyDescent="0.25">
      <c r="A79" s="1"/>
      <c r="F79" s="2"/>
    </row>
    <row r="80" spans="1:10" x14ac:dyDescent="0.25">
      <c r="A80" s="1"/>
      <c r="F80" s="2"/>
      <c r="G80" s="2"/>
    </row>
    <row r="81" spans="1:7" x14ac:dyDescent="0.25">
      <c r="A81" s="1"/>
      <c r="F81" s="2"/>
      <c r="G81" s="2"/>
    </row>
    <row r="82" spans="1:7" x14ac:dyDescent="0.25">
      <c r="A82" s="1"/>
      <c r="F82" s="2"/>
      <c r="G82" s="2"/>
    </row>
    <row r="83" spans="1:7" x14ac:dyDescent="0.25">
      <c r="A83" s="1"/>
      <c r="F83" s="2"/>
      <c r="G83" s="2"/>
    </row>
    <row r="84" spans="1:7" x14ac:dyDescent="0.25">
      <c r="A84" s="1"/>
      <c r="F84" s="2"/>
      <c r="G84" s="2"/>
    </row>
    <row r="85" spans="1:7" x14ac:dyDescent="0.25">
      <c r="A85" s="1"/>
      <c r="G85" s="2"/>
    </row>
    <row r="86" spans="1:7" x14ac:dyDescent="0.25">
      <c r="A86" s="1"/>
      <c r="G86" s="2"/>
    </row>
    <row r="87" spans="1:7" x14ac:dyDescent="0.25">
      <c r="A87" s="1"/>
      <c r="G87" s="2"/>
    </row>
    <row r="88" spans="1:7" x14ac:dyDescent="0.25">
      <c r="A88" s="1"/>
      <c r="G88" s="2"/>
    </row>
  </sheetData>
  <autoFilter ref="K4:L22" xr:uid="{B837E426-B73C-4664-9A01-EBFFE50629EC}">
    <sortState xmlns:xlrd2="http://schemas.microsoft.com/office/spreadsheetml/2017/richdata2" ref="K5:L22">
      <sortCondition ref="K4:K22"/>
    </sortState>
  </autoFilter>
  <mergeCells count="2">
    <mergeCell ref="A1:H1"/>
    <mergeCell ref="E67:F67"/>
  </mergeCells>
  <pageMargins left="0.7" right="0.7" top="0.53" bottom="0.42" header="0.3" footer="0.3"/>
  <pageSetup paperSize="9" scale="74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E137D-F1F6-4C8F-91C5-F7A607AF918D}">
  <sheetPr>
    <pageSetUpPr fitToPage="1"/>
  </sheetPr>
  <dimension ref="B2:M44"/>
  <sheetViews>
    <sheetView rightToLeft="1" workbookViewId="0">
      <selection activeCell="M3" sqref="J3:M20"/>
    </sheetView>
  </sheetViews>
  <sheetFormatPr defaultRowHeight="13.8" x14ac:dyDescent="0.25"/>
  <cols>
    <col min="2" max="2" width="23.19921875" bestFit="1" customWidth="1"/>
    <col min="3" max="3" width="15" bestFit="1" customWidth="1"/>
    <col min="4" max="4" width="15.5" bestFit="1" customWidth="1"/>
    <col min="5" max="5" width="13.796875" bestFit="1" customWidth="1"/>
    <col min="6" max="6" width="13.296875" bestFit="1" customWidth="1"/>
    <col min="7" max="7" width="19.59765625" bestFit="1" customWidth="1"/>
    <col min="8" max="8" width="18.5" bestFit="1" customWidth="1"/>
    <col min="9" max="9" width="9.5" bestFit="1" customWidth="1"/>
  </cols>
  <sheetData>
    <row r="2" spans="2:13" x14ac:dyDescent="0.25">
      <c r="B2" s="7"/>
    </row>
    <row r="3" spans="2:13" ht="14.4" thickBot="1" x14ac:dyDescent="0.3">
      <c r="C3" t="s">
        <v>186</v>
      </c>
      <c r="D3" t="s">
        <v>187</v>
      </c>
      <c r="E3" t="s">
        <v>187</v>
      </c>
      <c r="F3" t="s">
        <v>186</v>
      </c>
      <c r="G3" t="s">
        <v>186</v>
      </c>
    </row>
    <row r="4" spans="2:13" s="142" customFormat="1" ht="16.2" thickBot="1" x14ac:dyDescent="0.35">
      <c r="B4" s="166">
        <v>2024</v>
      </c>
      <c r="C4" s="138" t="s">
        <v>122</v>
      </c>
      <c r="D4" s="139" t="s">
        <v>123</v>
      </c>
      <c r="E4" s="138" t="s">
        <v>116</v>
      </c>
      <c r="F4" s="139" t="s">
        <v>125</v>
      </c>
      <c r="G4" s="143" t="s">
        <v>118</v>
      </c>
    </row>
    <row r="5" spans="2:13" x14ac:dyDescent="0.25">
      <c r="B5" s="94" t="s">
        <v>112</v>
      </c>
      <c r="C5" s="147">
        <v>94032</v>
      </c>
      <c r="D5" s="147">
        <v>84930</v>
      </c>
      <c r="E5" s="147">
        <v>131560</v>
      </c>
      <c r="F5" s="148">
        <v>165109</v>
      </c>
      <c r="G5" s="149">
        <v>110685</v>
      </c>
    </row>
    <row r="6" spans="2:13" x14ac:dyDescent="0.25">
      <c r="B6" s="91" t="s">
        <v>113</v>
      </c>
      <c r="C6" s="150"/>
      <c r="D6" s="151">
        <v>26280</v>
      </c>
      <c r="E6" s="151">
        <v>33120</v>
      </c>
      <c r="F6" s="152">
        <v>36330</v>
      </c>
      <c r="G6" s="153">
        <v>37650</v>
      </c>
    </row>
    <row r="7" spans="2:13" x14ac:dyDescent="0.25">
      <c r="B7" s="91" t="s">
        <v>114</v>
      </c>
      <c r="C7" s="150"/>
      <c r="D7" s="151">
        <v>78010</v>
      </c>
      <c r="E7" s="151">
        <v>90197.5</v>
      </c>
      <c r="F7" s="150">
        <v>83450</v>
      </c>
      <c r="G7" s="153">
        <v>83450</v>
      </c>
    </row>
    <row r="8" spans="2:13" x14ac:dyDescent="0.25">
      <c r="B8" s="93" t="s">
        <v>119</v>
      </c>
      <c r="C8" s="154"/>
      <c r="D8" s="155">
        <v>13620</v>
      </c>
      <c r="E8" s="155">
        <v>16680</v>
      </c>
      <c r="F8" s="154">
        <v>10045</v>
      </c>
      <c r="G8" s="156">
        <v>10045</v>
      </c>
    </row>
    <row r="9" spans="2:13" ht="14.4" thickBot="1" x14ac:dyDescent="0.3">
      <c r="B9" s="92" t="s">
        <v>115</v>
      </c>
      <c r="C9" s="157"/>
      <c r="D9" s="158">
        <v>0</v>
      </c>
      <c r="E9" s="158">
        <v>0</v>
      </c>
      <c r="F9" s="157">
        <f>G9*2</f>
        <v>13800</v>
      </c>
      <c r="G9" s="159">
        <v>6900</v>
      </c>
    </row>
    <row r="10" spans="2:13" x14ac:dyDescent="0.25">
      <c r="C10" s="160">
        <f t="shared" ref="C10:D10" si="0">SUM(C5:C9)</f>
        <v>94032</v>
      </c>
      <c r="D10" s="160">
        <f t="shared" si="0"/>
        <v>202840</v>
      </c>
      <c r="E10" s="160">
        <f>SUM(E5:E9)</f>
        <v>271557.5</v>
      </c>
      <c r="F10" s="160">
        <f>SUM(F5:F9)</f>
        <v>308734</v>
      </c>
      <c r="G10" s="160">
        <f>SUM(G5:G9)</f>
        <v>248730</v>
      </c>
    </row>
    <row r="12" spans="2:13" ht="14.4" thickBot="1" x14ac:dyDescent="0.3">
      <c r="C12" t="s">
        <v>186</v>
      </c>
      <c r="D12" t="s">
        <v>187</v>
      </c>
      <c r="E12" t="s">
        <v>187</v>
      </c>
      <c r="F12" t="s">
        <v>186</v>
      </c>
      <c r="G12" t="s">
        <v>186</v>
      </c>
    </row>
    <row r="13" spans="2:13" s="142" customFormat="1" ht="16.2" thickBot="1" x14ac:dyDescent="0.35">
      <c r="B13" s="166">
        <v>2024</v>
      </c>
      <c r="C13" s="138" t="s">
        <v>124</v>
      </c>
      <c r="D13" s="139" t="s">
        <v>123</v>
      </c>
      <c r="E13" s="138" t="s">
        <v>116</v>
      </c>
      <c r="F13" s="139" t="s">
        <v>117</v>
      </c>
      <c r="G13" s="140" t="s">
        <v>118</v>
      </c>
      <c r="H13" s="137" t="s">
        <v>4</v>
      </c>
      <c r="J13"/>
      <c r="K13" s="179"/>
      <c r="M13" s="179"/>
    </row>
    <row r="14" spans="2:13" x14ac:dyDescent="0.25">
      <c r="B14" s="94" t="s">
        <v>120</v>
      </c>
      <c r="C14" s="147">
        <f>21550+188980.745</f>
        <v>210530.745</v>
      </c>
      <c r="D14" s="148">
        <v>78090</v>
      </c>
      <c r="E14" s="147">
        <v>164215</v>
      </c>
      <c r="F14" s="148">
        <f>188597.25+12900</f>
        <v>201497.25</v>
      </c>
      <c r="G14" s="161">
        <v>244185</v>
      </c>
      <c r="H14" s="144">
        <f>SUM(C14:G14)</f>
        <v>898517.995</v>
      </c>
    </row>
    <row r="15" spans="2:13" x14ac:dyDescent="0.25">
      <c r="B15" s="91" t="s">
        <v>121</v>
      </c>
      <c r="C15" s="151">
        <f>64936.11+90200.13</f>
        <v>155136.24</v>
      </c>
      <c r="D15" s="152">
        <v>0</v>
      </c>
      <c r="E15" s="151">
        <v>82000</v>
      </c>
      <c r="F15" s="152">
        <v>105948</v>
      </c>
      <c r="G15" s="162">
        <v>133240</v>
      </c>
      <c r="H15" s="145">
        <f>SUM(C15:G15)</f>
        <v>476324.24</v>
      </c>
    </row>
    <row r="16" spans="2:13" x14ac:dyDescent="0.25">
      <c r="B16" s="91" t="s">
        <v>126</v>
      </c>
      <c r="C16" s="152">
        <v>33000</v>
      </c>
      <c r="D16" s="152">
        <v>0</v>
      </c>
      <c r="E16" s="151">
        <v>82000</v>
      </c>
      <c r="F16" s="151">
        <v>30000</v>
      </c>
      <c r="G16" s="162">
        <v>40000</v>
      </c>
      <c r="H16" s="145">
        <f>SUM(C16:G16)</f>
        <v>185000</v>
      </c>
    </row>
    <row r="17" spans="2:9" x14ac:dyDescent="0.25">
      <c r="B17" s="91" t="s">
        <v>127</v>
      </c>
      <c r="C17" s="152">
        <v>35900</v>
      </c>
      <c r="D17" s="152">
        <v>14000</v>
      </c>
      <c r="E17" s="155">
        <f>108996-82000</f>
        <v>26996</v>
      </c>
      <c r="F17" s="155">
        <v>36000</v>
      </c>
      <c r="G17" s="163">
        <f>36000+2901</f>
        <v>38901</v>
      </c>
      <c r="H17" s="145">
        <f t="shared" ref="H17" si="1">SUM(C17:G17)</f>
        <v>151797</v>
      </c>
    </row>
    <row r="18" spans="2:9" ht="14.4" thickBot="1" x14ac:dyDescent="0.3">
      <c r="B18" s="92"/>
      <c r="C18" s="158"/>
      <c r="D18" s="164"/>
      <c r="E18" s="158"/>
      <c r="F18" s="164"/>
      <c r="G18" s="165"/>
      <c r="H18" s="146"/>
    </row>
    <row r="20" spans="2:9" x14ac:dyDescent="0.25">
      <c r="B20" s="7"/>
    </row>
    <row r="21" spans="2:9" ht="14.4" thickBot="1" x14ac:dyDescent="0.3">
      <c r="C21" t="s">
        <v>186</v>
      </c>
      <c r="D21" t="s">
        <v>186</v>
      </c>
      <c r="E21" t="s">
        <v>186</v>
      </c>
      <c r="F21" t="s">
        <v>187</v>
      </c>
      <c r="G21" t="s">
        <v>188</v>
      </c>
    </row>
    <row r="22" spans="2:9" s="141" customFormat="1" ht="16.2" thickBot="1" x14ac:dyDescent="0.35">
      <c r="B22" s="166">
        <v>2023</v>
      </c>
      <c r="C22" s="138" t="s">
        <v>122</v>
      </c>
      <c r="D22" s="139" t="s">
        <v>123</v>
      </c>
      <c r="E22" s="138" t="s">
        <v>185</v>
      </c>
      <c r="F22" s="139" t="s">
        <v>183</v>
      </c>
      <c r="G22" s="140" t="s">
        <v>184</v>
      </c>
      <c r="H22" s="137" t="s">
        <v>4</v>
      </c>
    </row>
    <row r="23" spans="2:9" x14ac:dyDescent="0.25">
      <c r="B23" s="94" t="s">
        <v>189</v>
      </c>
      <c r="C23" s="147">
        <f>15700+25260</f>
        <v>40960</v>
      </c>
      <c r="D23" s="148">
        <f>11500+25046</f>
        <v>36546</v>
      </c>
      <c r="E23" s="147">
        <f>26999.8+200643.05</f>
        <v>227642.84999999998</v>
      </c>
      <c r="F23" s="148">
        <f>15700+22892</f>
        <v>38592</v>
      </c>
      <c r="G23" s="161"/>
      <c r="H23" s="144">
        <f>SUM(C23:G23)</f>
        <v>343740.85</v>
      </c>
    </row>
    <row r="24" spans="2:9" ht="14.4" thickBot="1" x14ac:dyDescent="0.3">
      <c r="B24" s="92" t="s">
        <v>121</v>
      </c>
      <c r="C24" s="158"/>
      <c r="D24" s="164"/>
      <c r="E24" s="158">
        <f>52948.71+25895.7+1596+11118.8+800+5985+28564.7+68531.72+200</f>
        <v>195640.63</v>
      </c>
      <c r="F24" s="164"/>
      <c r="G24" s="165"/>
      <c r="H24" s="146">
        <f>SUM(C24:G24)</f>
        <v>195640.63</v>
      </c>
    </row>
    <row r="26" spans="2:9" x14ac:dyDescent="0.25">
      <c r="B26" s="7"/>
    </row>
    <row r="27" spans="2:9" ht="14.4" thickBot="1" x14ac:dyDescent="0.3">
      <c r="C27" t="s">
        <v>186</v>
      </c>
      <c r="D27" t="s">
        <v>187</v>
      </c>
      <c r="E27" t="s">
        <v>187</v>
      </c>
      <c r="F27" t="s">
        <v>187</v>
      </c>
      <c r="G27" t="s">
        <v>186</v>
      </c>
      <c r="H27" t="s">
        <v>186</v>
      </c>
    </row>
    <row r="28" spans="2:9" s="141" customFormat="1" ht="16.2" thickBot="1" x14ac:dyDescent="0.35">
      <c r="B28" s="166">
        <v>2022</v>
      </c>
      <c r="C28" s="138" t="s">
        <v>122</v>
      </c>
      <c r="D28" s="139" t="s">
        <v>123</v>
      </c>
      <c r="E28" s="138" t="s">
        <v>192</v>
      </c>
      <c r="F28" s="139" t="s">
        <v>183</v>
      </c>
      <c r="G28" s="140" t="s">
        <v>190</v>
      </c>
      <c r="H28" s="140" t="s">
        <v>191</v>
      </c>
      <c r="I28" s="137" t="s">
        <v>4</v>
      </c>
    </row>
    <row r="29" spans="2:9" x14ac:dyDescent="0.25">
      <c r="B29" s="94" t="s">
        <v>189</v>
      </c>
      <c r="C29" s="147">
        <f>8800+13530.4</f>
        <v>22330.400000000001</v>
      </c>
      <c r="D29" s="148">
        <f>9000+16940</f>
        <v>25940</v>
      </c>
      <c r="E29" s="147">
        <f>8300+87833.14</f>
        <v>96133.14</v>
      </c>
      <c r="F29" s="148">
        <f>8700+27035</f>
        <v>35735</v>
      </c>
      <c r="G29" s="161">
        <f>10000+28676</f>
        <v>38676</v>
      </c>
      <c r="H29" s="161">
        <f>4100+19996.53</f>
        <v>24096.53</v>
      </c>
      <c r="I29" s="144">
        <f>SUM(C29:H29)</f>
        <v>242911.07</v>
      </c>
    </row>
    <row r="30" spans="2:9" ht="14.4" thickBot="1" x14ac:dyDescent="0.3">
      <c r="B30" s="92" t="s">
        <v>121</v>
      </c>
      <c r="C30" s="158"/>
      <c r="D30" s="164"/>
      <c r="E30" s="158">
        <f>15977+8638+35660+10035.14</f>
        <v>70310.14</v>
      </c>
      <c r="F30" s="164"/>
      <c r="G30" s="165">
        <f>3090+6994</f>
        <v>10084</v>
      </c>
      <c r="H30" s="165">
        <f>39208.67+64818.86</f>
        <v>104027.53</v>
      </c>
      <c r="I30" s="146">
        <f>SUM(C30:H30)</f>
        <v>184421.66999999998</v>
      </c>
    </row>
    <row r="32" spans="2:9" s="141" customFormat="1" ht="14.4" thickBot="1" x14ac:dyDescent="0.3">
      <c r="C32" s="141" t="s">
        <v>200</v>
      </c>
      <c r="D32" s="141" t="s">
        <v>201</v>
      </c>
      <c r="E32" s="141" t="s">
        <v>186</v>
      </c>
      <c r="F32" s="141" t="s">
        <v>186</v>
      </c>
      <c r="G32" s="141" t="s">
        <v>187</v>
      </c>
    </row>
    <row r="33" spans="2:8" ht="16.2" thickBot="1" x14ac:dyDescent="0.35">
      <c r="B33" s="166" t="s">
        <v>193</v>
      </c>
      <c r="C33" s="138">
        <v>2021</v>
      </c>
      <c r="D33" s="138">
        <v>2022</v>
      </c>
      <c r="E33" s="138">
        <v>2023</v>
      </c>
      <c r="F33" s="138">
        <v>2024</v>
      </c>
      <c r="G33" s="167">
        <v>2025</v>
      </c>
    </row>
    <row r="34" spans="2:8" x14ac:dyDescent="0.25">
      <c r="B34" s="94" t="s">
        <v>195</v>
      </c>
      <c r="C34" s="172">
        <f>12585+7460+58306</f>
        <v>78351</v>
      </c>
      <c r="D34" s="172">
        <f>35660+10035.14</f>
        <v>45695.14</v>
      </c>
      <c r="E34" s="147">
        <f>5985+28564.7+68531.72</f>
        <v>103081.42</v>
      </c>
      <c r="F34" s="147">
        <f>36155.71+14426.7+8784.7</f>
        <v>59367.11</v>
      </c>
      <c r="G34" s="168">
        <f>798+32206.89+52265.88</f>
        <v>85270.76999999999</v>
      </c>
      <c r="H34" s="174" t="s">
        <v>199</v>
      </c>
    </row>
    <row r="35" spans="2:8" x14ac:dyDescent="0.25">
      <c r="B35" s="91" t="s">
        <v>196</v>
      </c>
      <c r="C35" s="173">
        <f>12309+38347+9900</f>
        <v>60556</v>
      </c>
      <c r="D35" s="173">
        <f>8638+15977</f>
        <v>24615</v>
      </c>
      <c r="E35" s="151">
        <f>11118.8+1596+25895.7+52948.71</f>
        <v>91559.209999999992</v>
      </c>
      <c r="F35" s="151">
        <f>8784.71+5463.01+34124.71+14974.7</f>
        <v>63347.130000000005</v>
      </c>
      <c r="G35" s="169">
        <f>399+1596+43211.84+24812.9</f>
        <v>70019.739999999991</v>
      </c>
    </row>
    <row r="36" spans="2:8" x14ac:dyDescent="0.25">
      <c r="B36" s="91" t="s">
        <v>194</v>
      </c>
      <c r="C36" s="151">
        <v>43392.32</v>
      </c>
      <c r="D36" s="151">
        <v>64818.86</v>
      </c>
      <c r="E36" s="151">
        <v>90200.13</v>
      </c>
      <c r="F36" s="151">
        <f>70829.8+9040</f>
        <v>79869.8</v>
      </c>
      <c r="G36" s="169"/>
    </row>
    <row r="37" spans="2:8" ht="14.4" thickBot="1" x14ac:dyDescent="0.3">
      <c r="B37" s="92" t="s">
        <v>197</v>
      </c>
      <c r="C37" s="158">
        <v>23975</v>
      </c>
      <c r="D37" s="158">
        <v>39208.67</v>
      </c>
      <c r="E37" s="158">
        <v>64936.11</v>
      </c>
      <c r="F37" s="158">
        <f>60231.64+10781.68</f>
        <v>71013.320000000007</v>
      </c>
      <c r="G37" s="170"/>
    </row>
    <row r="38" spans="2:8" x14ac:dyDescent="0.25">
      <c r="B38" s="91" t="s">
        <v>202</v>
      </c>
      <c r="C38" s="173">
        <f>C34+C35</f>
        <v>138907</v>
      </c>
      <c r="D38" s="173">
        <f t="shared" ref="D38:G38" si="2">D34+D35</f>
        <v>70310.14</v>
      </c>
      <c r="E38" s="151">
        <f t="shared" si="2"/>
        <v>194640.63</v>
      </c>
      <c r="F38" s="151">
        <f t="shared" ref="F38" si="3">F34+F35</f>
        <v>122714.24000000001</v>
      </c>
      <c r="G38" s="169">
        <f t="shared" si="2"/>
        <v>155290.50999999998</v>
      </c>
    </row>
    <row r="39" spans="2:8" ht="14.4" thickBot="1" x14ac:dyDescent="0.3">
      <c r="B39" s="93" t="s">
        <v>203</v>
      </c>
      <c r="C39" s="155">
        <f>C36+C37</f>
        <v>67367.320000000007</v>
      </c>
      <c r="D39" s="155">
        <f t="shared" ref="D39:G39" si="4">D36+D37</f>
        <v>104027.53</v>
      </c>
      <c r="E39" s="155">
        <f t="shared" si="4"/>
        <v>155136.24</v>
      </c>
      <c r="F39" s="155">
        <f t="shared" ref="F39" si="5">F36+F37</f>
        <v>150883.12</v>
      </c>
      <c r="G39" s="175">
        <f t="shared" si="4"/>
        <v>0</v>
      </c>
    </row>
    <row r="40" spans="2:8" ht="14.4" thickBot="1" x14ac:dyDescent="0.3">
      <c r="B40" s="171" t="s">
        <v>198</v>
      </c>
      <c r="C40" s="178">
        <f>SUM(C36:C37)</f>
        <v>67367.320000000007</v>
      </c>
      <c r="D40" s="176">
        <f>SUM(D36:D37)</f>
        <v>104027.53</v>
      </c>
      <c r="E40" s="176">
        <f>SUM(E34:E37)</f>
        <v>349776.87</v>
      </c>
      <c r="F40" s="176">
        <f>SUM(F34:F37)</f>
        <v>273597.36</v>
      </c>
      <c r="G40" s="177">
        <f>SUM(G34:G37)</f>
        <v>155290.50999999998</v>
      </c>
    </row>
    <row r="42" spans="2:8" x14ac:dyDescent="0.25">
      <c r="B42" t="s">
        <v>182</v>
      </c>
    </row>
    <row r="43" spans="2:8" x14ac:dyDescent="0.25">
      <c r="B43" t="s">
        <v>180</v>
      </c>
    </row>
    <row r="44" spans="2:8" x14ac:dyDescent="0.25">
      <c r="B44" t="s">
        <v>181</v>
      </c>
    </row>
  </sheetData>
  <pageMargins left="0.26" right="0.28000000000000003" top="0.48" bottom="0.35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1+2</vt:lpstr>
      <vt:lpstr>3+4</vt:lpstr>
      <vt:lpstr>5+6</vt:lpstr>
      <vt:lpstr>7+8</vt:lpstr>
      <vt:lpstr>9+10</vt:lpstr>
      <vt:lpstr>סיכום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Ilil kaneti</dc:creator>
  <cp:lastModifiedBy>דניאל קנטי</cp:lastModifiedBy>
  <cp:lastPrinted>2024-12-06T14:18:06Z</cp:lastPrinted>
  <dcterms:created xsi:type="dcterms:W3CDTF">2024-10-31T10:25:04Z</dcterms:created>
  <dcterms:modified xsi:type="dcterms:W3CDTF">2026-05-18T13:47:05Z</dcterms:modified>
</cp:coreProperties>
</file>