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+2" sheetId="1" r:id="rId4"/>
    <sheet state="visible" name="גיליון1" sheetId="2" r:id="rId5"/>
    <sheet state="visible" name="3+4" sheetId="3" r:id="rId6"/>
    <sheet state="visible" name="גיליון2" sheetId="4" r:id="rId7"/>
    <sheet state="visible" name="5+6" sheetId="5" r:id="rId8"/>
    <sheet state="visible" name="גיליון3" sheetId="6" r:id="rId9"/>
    <sheet state="visible" name="7+8" sheetId="7" r:id="rId10"/>
    <sheet state="visible" name="גיליון4" sheetId="8" r:id="rId11"/>
    <sheet state="visible" name="9+10" sheetId="9" r:id="rId12"/>
    <sheet state="visible" name="גיליון5" sheetId="10" r:id="rId13"/>
    <sheet state="visible" name="11+12" sheetId="11" r:id="rId14"/>
    <sheet state="visible" name="גיליון6" sheetId="12" r:id="rId15"/>
  </sheets>
  <externalReferences>
    <externalReference r:id="rId16"/>
  </externalReferences>
  <definedNames/>
  <calcPr/>
  <extLst>
    <ext uri="GoogleSheetsCustomDataVersion2">
      <go:sheetsCustomData xmlns:go="http://customooxmlschemas.google.com/" r:id="rId17" roundtripDataChecksum="dBD8Nial9XtMT1BYGJ/uOPuef6Pww7nNFEWyM3wpUVo="/>
    </ext>
  </extLst>
</workbook>
</file>

<file path=xl/sharedStrings.xml><?xml version="1.0" encoding="utf-8"?>
<sst xmlns="http://schemas.openxmlformats.org/spreadsheetml/2006/main" count="875" uniqueCount="151">
  <si>
    <t>תשלום התאחדות</t>
  </si>
  <si>
    <t>תחרות בוגרים 1+2 - 2025</t>
  </si>
  <si>
    <t>שם המקצה</t>
  </si>
  <si>
    <t>מספר כניסות</t>
  </si>
  <si>
    <t>קופון ענף</t>
  </si>
  <si>
    <t>קופון דרבי</t>
  </si>
  <si>
    <t>תשלום לפרס</t>
  </si>
  <si>
    <t>התאחדות</t>
  </si>
  <si>
    <t>סה"כ קופון ענף למקצה</t>
  </si>
  <si>
    <t>סה"כ קופון דרבי למקצה</t>
  </si>
  <si>
    <t>סה"כ הכנסות התאחדות ממקצה</t>
  </si>
  <si>
    <t>סה"כ תשלום לפרס למקצה</t>
  </si>
  <si>
    <t>סה"כ פרס כספי למקצה</t>
  </si>
  <si>
    <t>סה"כ בצ'קים</t>
  </si>
  <si>
    <t>סה"כ יצא בדוח צ'קים</t>
  </si>
  <si>
    <t>הפרש</t>
  </si>
  <si>
    <t>פתוח לא מוגבל</t>
  </si>
  <si>
    <t>ירוקי רוכב חדש התאחדות</t>
  </si>
  <si>
    <t>ירוקי התאחדות</t>
  </si>
  <si>
    <t>נוער ירוקי התאחדות</t>
  </si>
  <si>
    <t>נוער UNRESTRICTED NRHA</t>
  </si>
  <si>
    <t>נונ פרו 50+</t>
  </si>
  <si>
    <t>פתוח NRHA</t>
  </si>
  <si>
    <t>פתוח מוגבל NRHA</t>
  </si>
  <si>
    <t>נוביס L1 NRHA</t>
  </si>
  <si>
    <t>נונ פרו NRHA</t>
  </si>
  <si>
    <t>נונ פרו מוגבל NRHA</t>
  </si>
  <si>
    <t>נונ פרו פריים טיים 40+ NRHA</t>
  </si>
  <si>
    <t>נוער 14-18 NRHA</t>
  </si>
  <si>
    <t>נוער 13 NRHA</t>
  </si>
  <si>
    <t>נוביס התאחדות</t>
  </si>
  <si>
    <t>נוביס נונ פרו התאחדות</t>
  </si>
  <si>
    <t xml:space="preserve">ירוקי התאחדות </t>
  </si>
  <si>
    <t xml:space="preserve">נוביס נונ פרו התאחדות </t>
  </si>
  <si>
    <t xml:space="preserve">נוער UNRESTRICTED NRHA </t>
  </si>
  <si>
    <t xml:space="preserve">נונ פרו 50+ </t>
  </si>
  <si>
    <t xml:space="preserve">פתוח NRHA </t>
  </si>
  <si>
    <t xml:space="preserve">פתוח מוגבל NRHA </t>
  </si>
  <si>
    <t xml:space="preserve">נוביס L1 NRHA </t>
  </si>
  <si>
    <t xml:space="preserve">נוביס התאחדות </t>
  </si>
  <si>
    <t xml:space="preserve">נוער 13 NRHA </t>
  </si>
  <si>
    <t xml:space="preserve">נוער 14-18 NRHA </t>
  </si>
  <si>
    <t xml:space="preserve">נונ פרו NRHA </t>
  </si>
  <si>
    <t xml:space="preserve">נונ פרו מוגבל NRHA </t>
  </si>
  <si>
    <t xml:space="preserve">נונ פרו פריים טיים 40+ NRHA </t>
  </si>
  <si>
    <t>סה"כ כניסות ליגה בלי לא מוסבר</t>
  </si>
  <si>
    <t>סה"כ קבלות התאחדות מהלוגליג</t>
  </si>
  <si>
    <t>בוצעה העברה להתאחדות מליאור דובובסקי לא נמצא בלוגליג</t>
  </si>
  <si>
    <t xml:space="preserve">זיכויים </t>
  </si>
  <si>
    <t>סה"כ גביה ממתחרים</t>
  </si>
  <si>
    <t>סה"כ קופון דרבי (50 ₪)</t>
  </si>
  <si>
    <t>סה"כ קופון ענף</t>
  </si>
  <si>
    <t>סה"כ גביה ממתחרים לפרס</t>
  </si>
  <si>
    <t>סה"כ פרסים מוספים תחרות 1</t>
  </si>
  <si>
    <t>סה"כ פרסים מוספים תחרות 2</t>
  </si>
  <si>
    <t>סה"כ תשלום פרסים למתחרים</t>
  </si>
  <si>
    <t xml:space="preserve">סה"כ IRBC קופון 70%  </t>
  </si>
  <si>
    <t>תחרות ריינינג 1+2 2025</t>
  </si>
  <si>
    <t>15-18.04.2025</t>
  </si>
  <si>
    <t>חווה</t>
  </si>
  <si>
    <t>סה"כ</t>
  </si>
  <si>
    <t>סה"כ תוכנה</t>
  </si>
  <si>
    <t>סה"כ חווה</t>
  </si>
  <si>
    <t>סה"כ התאחדות</t>
  </si>
  <si>
    <t xml:space="preserve">פייד טיים שני </t>
  </si>
  <si>
    <t>פייד טיים שני כפול</t>
  </si>
  <si>
    <t>פייד טיים שלישי בוקר</t>
  </si>
  <si>
    <t>פייד טיים שלישי בוקר כפול</t>
  </si>
  <si>
    <t>Junior Riders</t>
  </si>
  <si>
    <t>Young Professional Riders</t>
  </si>
  <si>
    <t>Senior Professional Riders</t>
  </si>
  <si>
    <t>פייד טיים שלישי ערב</t>
  </si>
  <si>
    <t>פייד טיים שלישי ערב כפול</t>
  </si>
  <si>
    <t>פייד טיים רביעי בוקר כפול</t>
  </si>
  <si>
    <t>פייד טיים רביעי בוקר</t>
  </si>
  <si>
    <t>Young Non-Professional Riders</t>
  </si>
  <si>
    <t>Senior Non-Professional Riders</t>
  </si>
  <si>
    <t>Prime time Non-Professional Riders</t>
  </si>
  <si>
    <t>פייד טיים רביעי ערב</t>
  </si>
  <si>
    <t>פייד טיים רביעי ערב כפול</t>
  </si>
  <si>
    <t>פייד טיים חמישי בוקר כפול</t>
  </si>
  <si>
    <t>פייד טיים חמישי בוקר</t>
  </si>
  <si>
    <t>פייד טיים חמישי ערב</t>
  </si>
  <si>
    <t>פייד טיים חמישי ערב כפול</t>
  </si>
  <si>
    <t>פייד טיים שישי בוקר כפול</t>
  </si>
  <si>
    <t>פייד טיים שישי בוקר</t>
  </si>
  <si>
    <t>מספר</t>
  </si>
  <si>
    <t>מקצה לרישום דמי ביטול ושינוי לפני תחרות</t>
  </si>
  <si>
    <t>תחרות ריינינג 3+4 2025</t>
  </si>
  <si>
    <t>זיכוי שהשתמשו מתחרות קודמת</t>
  </si>
  <si>
    <t>סה"כ פרסים מוספים תחרות 3</t>
  </si>
  <si>
    <t>סה"כ פרסים מוספים תחרות 4</t>
  </si>
  <si>
    <t>פתוח לא מוגבל B2W</t>
  </si>
  <si>
    <t>פייד טיים שישי ערב</t>
  </si>
  <si>
    <t>פייד טיים שישי ערב כפול</t>
  </si>
  <si>
    <t>פייד טיים שבת בוקר כפול</t>
  </si>
  <si>
    <t>פייד טיים שבת בוקר</t>
  </si>
  <si>
    <t>תחרות ריינינג 5+6 2025</t>
  </si>
  <si>
    <t>סה"כ פרסים מוספים תחרות 5</t>
  </si>
  <si>
    <t>סה"כ פרסים מוספים תחרות 6</t>
  </si>
  <si>
    <t>19-22.08.2025</t>
  </si>
  <si>
    <t>פייד טיים שני</t>
  </si>
  <si>
    <t>תחרות ריינינג 7+8 2025</t>
  </si>
  <si>
    <t>IRBC דרבי נונ פרו L4</t>
  </si>
  <si>
    <t>IRBC דרבי נונ פרו L3</t>
  </si>
  <si>
    <t>IRBC דרבי נונ פרו L1</t>
  </si>
  <si>
    <t>IRBC דרבי נונ פרו פריים טיים</t>
  </si>
  <si>
    <t>IRBC דרבי פתוח L4</t>
  </si>
  <si>
    <t>IRBC דרבי פתוח L3</t>
  </si>
  <si>
    <t>IRBC דרבי פתוח L1</t>
  </si>
  <si>
    <t>בוצעה העברה להתאחדות לא נמצא בלוגליג</t>
  </si>
  <si>
    <t>סה"כ פרסים מוספים תחרות 7</t>
  </si>
  <si>
    <t>סה"כ פרסים מוספים תחרות 8</t>
  </si>
  <si>
    <t>09-12.09.2025</t>
  </si>
  <si>
    <t>פתוח לא מוגבל DK</t>
  </si>
  <si>
    <t>אקסטרים שוטאווט</t>
  </si>
  <si>
    <t>תחרות ריינינג 9+10 2025</t>
  </si>
  <si>
    <t xml:space="preserve">פתוח לא מוגבל </t>
  </si>
  <si>
    <t>פטוריטי נונ פרו NRHA</t>
  </si>
  <si>
    <t>דרבי פתוח L1</t>
  </si>
  <si>
    <t>דרבי פתוח L2</t>
  </si>
  <si>
    <t>דרבי פתוח L3</t>
  </si>
  <si>
    <t>דרבי פתוח L4</t>
  </si>
  <si>
    <t>דרבי נונ פרו L1</t>
  </si>
  <si>
    <t>דרבי נונ פרו L2</t>
  </si>
  <si>
    <t>דרבי נונ פרו L3</t>
  </si>
  <si>
    <t>דרבי נונ פרו L4</t>
  </si>
  <si>
    <t>פטוריטי פתוח NRHA</t>
  </si>
  <si>
    <t>סה"כ פרסים מוספים תחרות 9</t>
  </si>
  <si>
    <t>סה"כ פרסים מוספים תחרות 10</t>
  </si>
  <si>
    <t>15-18.10.2025</t>
  </si>
  <si>
    <t>פייד טיים שלישי</t>
  </si>
  <si>
    <t>פייד טיים שלישי כפול</t>
  </si>
  <si>
    <t>תחרות ריינינג 11+12 2025</t>
  </si>
  <si>
    <t>ג'קפוט התאחדות</t>
  </si>
  <si>
    <t>נגבה קופון</t>
  </si>
  <si>
    <t>סה"כ ג'קפוט התאחדות למקצה</t>
  </si>
  <si>
    <t>סה"כ כסף מוסף למקצה</t>
  </si>
  <si>
    <t>זוגות 1</t>
  </si>
  <si>
    <t>זוגות 2</t>
  </si>
  <si>
    <t>פטוריטי פתוח בני 3 IRBC L4</t>
  </si>
  <si>
    <t>פטוריטי פתוח בני 3 IRBC L3</t>
  </si>
  <si>
    <t>פטוריטי פתוח בני 3 IRBC L2</t>
  </si>
  <si>
    <t>פטוריטי פתוח בני 3 IRBC L1</t>
  </si>
  <si>
    <t>פטוריטי נונ פרו בני 4 IRBC L4</t>
  </si>
  <si>
    <t>פטוריטי נונ פרו בני 4 IRBC L3</t>
  </si>
  <si>
    <t>פטוריטי נונ פרו בני 4 IRBC L2</t>
  </si>
  <si>
    <t>פטוריטי נונ פרו בני 4 IRBC L1</t>
  </si>
  <si>
    <t>סה"כ פרסים מוספים תחרות 11</t>
  </si>
  <si>
    <t>סה"כ פרסים מוספים תחרות 12</t>
  </si>
  <si>
    <t>04-08.11.2025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</si>
</sst>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rial"/>
      <scheme val="minor"/>
    </font>
    <font>
      <b/>
      <sz val="14.0"/>
      <color rgb="FFC00000"/>
      <name val="Arial"/>
    </font>
    <font>
      <b/>
      <sz val="18.0"/>
      <color rgb="FFC00000"/>
      <name val="Arial"/>
    </font>
    <font/>
    <font>
      <b/>
      <sz val="11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b/>
      <sz val="16.0"/>
      <color theme="1"/>
      <name val="Arial"/>
    </font>
    <font>
      <b/>
      <u/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C1F0C8"/>
        <bgColor rgb="FFC1F0C8"/>
      </patternFill>
    </fill>
    <fill>
      <patternFill patternType="solid">
        <fgColor theme="0"/>
        <bgColor theme="0"/>
      </patternFill>
    </fill>
    <fill>
      <patternFill patternType="solid">
        <fgColor rgb="FFD9F2D0"/>
        <bgColor rgb="FFD9F2D0"/>
      </patternFill>
    </fill>
    <fill>
      <patternFill patternType="solid">
        <fgColor rgb="FFF1CEEE"/>
        <bgColor rgb="FFF1CEEE"/>
      </patternFill>
    </fill>
    <fill>
      <patternFill patternType="solid">
        <fgColor rgb="FFFFFF00"/>
        <bgColor rgb="FFFFFF00"/>
      </patternFill>
    </fill>
    <fill>
      <patternFill patternType="solid">
        <fgColor rgb="FFFAE2D5"/>
        <bgColor rgb="FFFAE2D5"/>
      </patternFill>
    </fill>
    <fill>
      <patternFill patternType="solid">
        <fgColor rgb="FFF6C6AC"/>
        <bgColor rgb="FFF6C6AC"/>
      </patternFill>
    </fill>
    <fill>
      <patternFill patternType="solid">
        <fgColor rgb="FFDBE9F7"/>
        <bgColor rgb="FFDBE9F7"/>
      </patternFill>
    </fill>
  </fills>
  <borders count="86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Border="1" applyFont="1"/>
    <xf borderId="0" fillId="0" fontId="2" numFmtId="0" xfId="0" applyFont="1"/>
    <xf borderId="2" fillId="0" fontId="4" numFmtId="0" xfId="0" applyAlignment="1" applyBorder="1" applyFont="1">
      <alignment horizontal="right" readingOrder="0" vertical="center"/>
    </xf>
    <xf borderId="3" fillId="0" fontId="4" numFmtId="0" xfId="0" applyAlignment="1" applyBorder="1" applyFont="1">
      <alignment horizontal="right" readingOrder="0" shrinkToFit="0" vertical="center" wrapText="1"/>
    </xf>
    <xf borderId="4" fillId="0" fontId="4" numFmtId="0" xfId="0" applyAlignment="1" applyBorder="1" applyFont="1">
      <alignment horizontal="right" readingOrder="0" shrinkToFit="0" vertical="center" wrapText="1"/>
    </xf>
    <xf borderId="5" fillId="0" fontId="4" numFmtId="0" xfId="0" applyAlignment="1" applyBorder="1" applyFont="1">
      <alignment horizontal="right" readingOrder="0" vertical="center"/>
    </xf>
    <xf borderId="6" fillId="0" fontId="4" numFmtId="0" xfId="0" applyAlignment="1" applyBorder="1" applyFont="1">
      <alignment horizontal="right" readingOrder="0" shrinkToFit="0" vertical="center" wrapText="1"/>
    </xf>
    <xf borderId="7" fillId="0" fontId="4" numFmtId="0" xfId="0" applyAlignment="1" applyBorder="1" applyFont="1">
      <alignment horizontal="right" readingOrder="0" shrinkToFit="0" vertical="center" wrapText="1"/>
    </xf>
    <xf borderId="5" fillId="0" fontId="4" numFmtId="0" xfId="0" applyAlignment="1" applyBorder="1" applyFont="1">
      <alignment horizontal="right" readingOrder="0" shrinkToFit="0" vertical="center" wrapText="1"/>
    </xf>
    <xf borderId="8" fillId="2" fontId="5" numFmtId="0" xfId="0" applyAlignment="1" applyBorder="1" applyFill="1" applyFont="1">
      <alignment readingOrder="0"/>
    </xf>
    <xf borderId="9" fillId="3" fontId="5" numFmtId="0" xfId="0" applyBorder="1" applyFill="1" applyFont="1"/>
    <xf borderId="10" fillId="3" fontId="5" numFmtId="0" xfId="0" applyBorder="1" applyFont="1"/>
    <xf borderId="11" fillId="3" fontId="5" numFmtId="0" xfId="0" applyBorder="1" applyFont="1"/>
    <xf borderId="12" fillId="0" fontId="5" numFmtId="0" xfId="0" applyBorder="1" applyFont="1"/>
    <xf borderId="13" fillId="3" fontId="5" numFmtId="0" xfId="0" applyBorder="1" applyFont="1"/>
    <xf borderId="0" fillId="0" fontId="5" numFmtId="0" xfId="0" applyAlignment="1" applyFont="1">
      <alignment horizontal="right"/>
    </xf>
    <xf borderId="14" fillId="2" fontId="5" numFmtId="0" xfId="0" applyAlignment="1" applyBorder="1" applyFont="1">
      <alignment horizontal="right" readingOrder="0"/>
    </xf>
    <xf borderId="15" fillId="3" fontId="5" numFmtId="0" xfId="0" applyBorder="1" applyFont="1"/>
    <xf borderId="16" fillId="3" fontId="5" numFmtId="0" xfId="0" applyBorder="1" applyFont="1"/>
    <xf borderId="17" fillId="3" fontId="5" numFmtId="0" xfId="0" applyBorder="1" applyFont="1"/>
    <xf borderId="18" fillId="0" fontId="5" numFmtId="0" xfId="0" applyBorder="1" applyFont="1"/>
    <xf borderId="19" fillId="3" fontId="5" numFmtId="0" xfId="0" applyBorder="1" applyFont="1"/>
    <xf borderId="14" fillId="2" fontId="5" numFmtId="0" xfId="0" applyAlignment="1" applyBorder="1" applyFont="1">
      <alignment readingOrder="0"/>
    </xf>
    <xf borderId="14" fillId="2" fontId="5" numFmtId="0" xfId="0" applyBorder="1" applyFont="1"/>
    <xf borderId="15" fillId="0" fontId="5" numFmtId="0" xfId="0" applyBorder="1" applyFont="1"/>
    <xf borderId="0" fillId="0" fontId="4" numFmtId="0" xfId="0" applyFont="1"/>
    <xf borderId="14" fillId="2" fontId="5" numFmtId="0" xfId="0" applyAlignment="1" applyBorder="1" applyFont="1">
      <alignment horizontal="right"/>
    </xf>
    <xf borderId="20" fillId="2" fontId="5" numFmtId="0" xfId="0" applyAlignment="1" applyBorder="1" applyFont="1">
      <alignment horizontal="right" readingOrder="0"/>
    </xf>
    <xf borderId="21" fillId="3" fontId="5" numFmtId="0" xfId="0" applyBorder="1" applyFont="1"/>
    <xf borderId="22" fillId="3" fontId="5" numFmtId="0" xfId="0" applyBorder="1" applyFont="1"/>
    <xf borderId="23" fillId="3" fontId="5" numFmtId="0" xfId="0" applyBorder="1" applyFont="1"/>
    <xf borderId="24" fillId="0" fontId="5" numFmtId="0" xfId="0" applyBorder="1" applyFont="1"/>
    <xf borderId="25" fillId="3" fontId="5" numFmtId="0" xfId="0" applyBorder="1" applyFont="1"/>
    <xf borderId="8" fillId="4" fontId="5" numFmtId="0" xfId="0" applyAlignment="1" applyBorder="1" applyFill="1" applyFont="1">
      <alignment horizontal="right" readingOrder="0"/>
    </xf>
    <xf borderId="14" fillId="4" fontId="5" numFmtId="0" xfId="0" applyAlignment="1" applyBorder="1" applyFont="1">
      <alignment horizontal="right" readingOrder="0"/>
    </xf>
    <xf borderId="14" fillId="4" fontId="5" numFmtId="0" xfId="0" applyAlignment="1" applyBorder="1" applyFont="1">
      <alignment horizontal="right"/>
    </xf>
    <xf borderId="26" fillId="4" fontId="5" numFmtId="0" xfId="0" applyAlignment="1" applyBorder="1" applyFont="1">
      <alignment horizontal="right" readingOrder="0"/>
    </xf>
    <xf borderId="27" fillId="3" fontId="5" numFmtId="0" xfId="0" applyBorder="1" applyFont="1"/>
    <xf borderId="28" fillId="3" fontId="5" numFmtId="0" xfId="0" applyBorder="1" applyFont="1"/>
    <xf borderId="29" fillId="3" fontId="5" numFmtId="0" xfId="0" applyBorder="1" applyFont="1"/>
    <xf borderId="30" fillId="0" fontId="5" numFmtId="0" xfId="0" applyBorder="1" applyFont="1"/>
    <xf borderId="31" fillId="3" fontId="5" numFmtId="0" xfId="0" applyBorder="1" applyFont="1"/>
    <xf borderId="0" fillId="0" fontId="6" numFmtId="0" xfId="0" applyFont="1"/>
    <xf borderId="32" fillId="5" fontId="4" numFmtId="0" xfId="0" applyBorder="1" applyFill="1" applyFont="1"/>
    <xf borderId="32" fillId="6" fontId="5" numFmtId="0" xfId="0" applyBorder="1" applyFill="1" applyFont="1"/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vertical="center"/>
    </xf>
    <xf borderId="32" fillId="5" fontId="4" numFmtId="0" xfId="0" applyAlignment="1" applyBorder="1" applyFont="1">
      <alignment readingOrder="0"/>
    </xf>
    <xf borderId="32" fillId="2" fontId="4" numFmtId="0" xfId="0" applyAlignment="1" applyBorder="1" applyFont="1">
      <alignment readingOrder="0"/>
    </xf>
    <xf borderId="32" fillId="2" fontId="4" numFmtId="0" xfId="0" applyBorder="1" applyFont="1"/>
    <xf borderId="32" fillId="4" fontId="4" numFmtId="0" xfId="0" applyAlignment="1" applyBorder="1" applyFont="1">
      <alignment readingOrder="0"/>
    </xf>
    <xf borderId="32" fillId="4" fontId="4" numFmtId="0" xfId="0" applyBorder="1" applyFont="1"/>
    <xf borderId="0" fillId="0" fontId="7" numFmtId="0" xfId="0" applyAlignment="1" applyFont="1">
      <alignment horizontal="center"/>
    </xf>
    <xf borderId="0" fillId="0" fontId="4" numFmtId="1" xfId="0" applyFont="1" applyNumberFormat="1"/>
    <xf borderId="0" fillId="0" fontId="8" numFmtId="0" xfId="0" applyFont="1"/>
    <xf borderId="0" fillId="0" fontId="8" numFmtId="2" xfId="0" applyFont="1" applyNumberFormat="1"/>
    <xf borderId="32" fillId="7" fontId="4" numFmtId="0" xfId="0" applyAlignment="1" applyBorder="1" applyFill="1" applyFont="1">
      <alignment horizontal="right" readingOrder="2"/>
    </xf>
    <xf borderId="0" fillId="0" fontId="5" numFmtId="1" xfId="0" applyFont="1" applyNumberFormat="1"/>
    <xf borderId="0" fillId="0" fontId="9" numFmtId="0" xfId="0" applyAlignment="1" applyFont="1">
      <alignment horizontal="center" readingOrder="0"/>
    </xf>
    <xf borderId="33" fillId="2" fontId="4" numFmtId="0" xfId="0" applyAlignment="1" applyBorder="1" applyFont="1">
      <alignment horizontal="center"/>
    </xf>
    <xf borderId="34" fillId="0" fontId="3" numFmtId="0" xfId="0" applyBorder="1" applyFont="1"/>
    <xf borderId="35" fillId="0" fontId="3" numFmtId="0" xfId="0" applyBorder="1" applyFont="1"/>
    <xf borderId="6" fillId="0" fontId="4" numFmtId="0" xfId="0" applyAlignment="1" applyBorder="1" applyFont="1">
      <alignment horizontal="right"/>
    </xf>
    <xf borderId="3" fillId="0" fontId="4" numFmtId="0" xfId="0" applyAlignment="1" applyBorder="1" applyFont="1">
      <alignment horizontal="center" readingOrder="0" shrinkToFit="0" vertical="center" wrapText="1"/>
    </xf>
    <xf borderId="36" fillId="0" fontId="4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8" fillId="8" fontId="5" numFmtId="0" xfId="0" applyAlignment="1" applyBorder="1" applyFill="1" applyFont="1">
      <alignment readingOrder="0"/>
    </xf>
    <xf borderId="9" fillId="8" fontId="5" numFmtId="0" xfId="0" applyBorder="1" applyFont="1"/>
    <xf borderId="10" fillId="8" fontId="5" numFmtId="0" xfId="0" applyBorder="1" applyFont="1"/>
    <xf borderId="11" fillId="8" fontId="5" numFmtId="0" xfId="0" applyBorder="1" applyFont="1"/>
    <xf borderId="12" fillId="8" fontId="5" numFmtId="0" xfId="0" applyBorder="1" applyFont="1"/>
    <xf borderId="37" fillId="8" fontId="5" numFmtId="0" xfId="0" applyBorder="1" applyFont="1"/>
    <xf borderId="13" fillId="8" fontId="5" numFmtId="0" xfId="0" applyBorder="1" applyFont="1"/>
    <xf borderId="14" fillId="8" fontId="5" numFmtId="0" xfId="0" applyAlignment="1" applyBorder="1" applyFont="1">
      <alignment readingOrder="0"/>
    </xf>
    <xf borderId="15" fillId="8" fontId="5" numFmtId="0" xfId="0" applyBorder="1" applyFont="1"/>
    <xf borderId="16" fillId="8" fontId="5" numFmtId="0" xfId="0" applyBorder="1" applyFont="1"/>
    <xf borderId="17" fillId="8" fontId="5" numFmtId="0" xfId="0" applyBorder="1" applyFont="1"/>
    <xf borderId="18" fillId="8" fontId="5" numFmtId="0" xfId="0" applyBorder="1" applyFont="1"/>
    <xf borderId="38" fillId="8" fontId="5" numFmtId="0" xfId="0" applyBorder="1" applyFont="1"/>
    <xf borderId="19" fillId="8" fontId="5" numFmtId="0" xfId="0" applyBorder="1" applyFont="1"/>
    <xf borderId="26" fillId="8" fontId="5" numFmtId="0" xfId="0" applyAlignment="1" applyBorder="1" applyFont="1">
      <alignment readingOrder="0"/>
    </xf>
    <xf borderId="21" fillId="8" fontId="5" numFmtId="0" xfId="0" applyBorder="1" applyFont="1"/>
    <xf borderId="22" fillId="8" fontId="5" numFmtId="0" xfId="0" applyBorder="1" applyFont="1"/>
    <xf borderId="23" fillId="8" fontId="5" numFmtId="0" xfId="0" applyBorder="1" applyFont="1"/>
    <xf borderId="30" fillId="8" fontId="5" numFmtId="0" xfId="0" applyBorder="1" applyFont="1"/>
    <xf borderId="39" fillId="8" fontId="5" numFmtId="0" xfId="0" applyBorder="1" applyFont="1"/>
    <xf borderId="28" fillId="8" fontId="5" numFmtId="0" xfId="0" applyBorder="1" applyFont="1"/>
    <xf borderId="31" fillId="8" fontId="5" numFmtId="0" xfId="0" applyBorder="1" applyFont="1"/>
    <xf borderId="8" fillId="3" fontId="5" numFmtId="0" xfId="0" applyAlignment="1" applyBorder="1" applyFont="1">
      <alignment readingOrder="0"/>
    </xf>
    <xf borderId="10" fillId="0" fontId="5" numFmtId="0" xfId="0" applyBorder="1" applyFont="1"/>
    <xf borderId="40" fillId="0" fontId="5" numFmtId="0" xfId="0" applyBorder="1" applyFont="1"/>
    <xf borderId="41" fillId="3" fontId="5" numFmtId="0" xfId="0" applyBorder="1" applyFont="1"/>
    <xf borderId="42" fillId="0" fontId="5" numFmtId="0" xfId="0" applyBorder="1" applyFont="1"/>
    <xf borderId="43" fillId="0" fontId="5" numFmtId="0" xfId="0" applyBorder="1" applyFont="1"/>
    <xf borderId="44" fillId="3" fontId="5" numFmtId="0" xfId="0" applyAlignment="1" applyBorder="1" applyFont="1">
      <alignment horizontal="right" readingOrder="0"/>
    </xf>
    <xf borderId="16" fillId="0" fontId="5" numFmtId="0" xfId="0" applyBorder="1" applyFont="1"/>
    <xf borderId="14" fillId="3" fontId="5" numFmtId="0" xfId="0" applyAlignment="1" applyBorder="1" applyFont="1">
      <alignment readingOrder="0"/>
    </xf>
    <xf borderId="44" fillId="3" fontId="5" numFmtId="0" xfId="0" applyAlignment="1" applyBorder="1" applyFont="1">
      <alignment horizontal="right"/>
    </xf>
    <xf borderId="14" fillId="3" fontId="5" numFmtId="0" xfId="0" applyAlignment="1" applyBorder="1" applyFont="1">
      <alignment horizontal="right"/>
    </xf>
    <xf borderId="19" fillId="0" fontId="5" numFmtId="0" xfId="0" applyBorder="1" applyFont="1"/>
    <xf borderId="45" fillId="0" fontId="5" numFmtId="0" xfId="0" applyBorder="1" applyFont="1"/>
    <xf borderId="38" fillId="3" fontId="5" numFmtId="0" xfId="0" applyBorder="1" applyFont="1"/>
    <xf borderId="46" fillId="0" fontId="5" numFmtId="0" xfId="0" applyAlignment="1" applyBorder="1" applyFont="1">
      <alignment horizontal="right" readingOrder="0"/>
    </xf>
    <xf borderId="47" fillId="0" fontId="5" numFmtId="0" xfId="0" applyAlignment="1" applyBorder="1" applyFont="1">
      <alignment horizontal="right" readingOrder="0"/>
    </xf>
    <xf borderId="46" fillId="0" fontId="5" numFmtId="0" xfId="0" applyAlignment="1" applyBorder="1" applyFont="1">
      <alignment horizontal="right"/>
    </xf>
    <xf borderId="27" fillId="0" fontId="5" numFmtId="0" xfId="0" applyBorder="1" applyFont="1"/>
    <xf borderId="28" fillId="0" fontId="5" numFmtId="0" xfId="0" applyBorder="1" applyFont="1"/>
    <xf borderId="48" fillId="8" fontId="5" numFmtId="0" xfId="0" applyBorder="1" applyFont="1"/>
    <xf borderId="49" fillId="8" fontId="5" numFmtId="0" xfId="0" applyBorder="1" applyFont="1"/>
    <xf borderId="50" fillId="8" fontId="5" numFmtId="0" xfId="0" applyBorder="1" applyFont="1"/>
    <xf borderId="27" fillId="8" fontId="5" numFmtId="0" xfId="0" applyBorder="1" applyFont="1"/>
    <xf borderId="29" fillId="8" fontId="5" numFmtId="0" xfId="0" applyBorder="1" applyFont="1"/>
    <xf borderId="18" fillId="3" fontId="5" numFmtId="0" xfId="0" applyAlignment="1" applyBorder="1" applyFont="1">
      <alignment horizontal="right" readingOrder="0"/>
    </xf>
    <xf borderId="51" fillId="3" fontId="5" numFmtId="0" xfId="0" applyAlignment="1" applyBorder="1" applyFont="1">
      <alignment horizontal="right"/>
    </xf>
    <xf borderId="18" fillId="3" fontId="5" numFmtId="0" xfId="0" applyAlignment="1" applyBorder="1" applyFont="1">
      <alignment horizontal="right"/>
    </xf>
    <xf borderId="51" fillId="3" fontId="5" numFmtId="0" xfId="0" applyAlignment="1" applyBorder="1" applyFont="1">
      <alignment horizontal="right" readingOrder="0"/>
    </xf>
    <xf borderId="52" fillId="0" fontId="5" numFmtId="0" xfId="0" applyBorder="1" applyFont="1"/>
    <xf borderId="53" fillId="0" fontId="5" numFmtId="0" xfId="0" applyBorder="1" applyFont="1"/>
    <xf borderId="54" fillId="0" fontId="5" numFmtId="0" xfId="0" applyBorder="1" applyFont="1"/>
    <xf borderId="12" fillId="8" fontId="5" numFmtId="0" xfId="0" applyAlignment="1" applyBorder="1" applyFont="1">
      <alignment readingOrder="0"/>
    </xf>
    <xf borderId="18" fillId="8" fontId="5" numFmtId="0" xfId="0" applyAlignment="1" applyBorder="1" applyFont="1">
      <alignment readingOrder="0"/>
    </xf>
    <xf borderId="30" fillId="8" fontId="5" numFmtId="0" xfId="0" applyAlignment="1" applyBorder="1" applyFont="1">
      <alignment readingOrder="0"/>
    </xf>
    <xf borderId="24" fillId="0" fontId="5" numFmtId="0" xfId="0" applyAlignment="1" applyBorder="1" applyFont="1">
      <alignment horizontal="right"/>
    </xf>
    <xf borderId="18" fillId="0" fontId="4" numFmtId="0" xfId="0" applyAlignment="1" applyBorder="1" applyFont="1">
      <alignment horizontal="right" readingOrder="0"/>
    </xf>
    <xf borderId="55" fillId="8" fontId="5" numFmtId="0" xfId="0" applyAlignment="1" applyBorder="1" applyFont="1">
      <alignment readingOrder="0"/>
    </xf>
    <xf borderId="56" fillId="8" fontId="5" numFmtId="0" xfId="0" applyBorder="1" applyFont="1"/>
    <xf borderId="57" fillId="8" fontId="5" numFmtId="0" xfId="0" applyBorder="1" applyFont="1"/>
    <xf borderId="58" fillId="8" fontId="5" numFmtId="0" xfId="0" applyBorder="1" applyFont="1"/>
    <xf borderId="55" fillId="8" fontId="5" numFmtId="0" xfId="0" applyBorder="1" applyFont="1"/>
    <xf borderId="59" fillId="8" fontId="5" numFmtId="0" xfId="0" applyBorder="1" applyFont="1"/>
    <xf borderId="60" fillId="8" fontId="4" numFmtId="0" xfId="0" applyBorder="1" applyFont="1"/>
    <xf borderId="61" fillId="8" fontId="4" numFmtId="0" xfId="0" applyBorder="1" applyFont="1"/>
    <xf borderId="62" fillId="8" fontId="4" numFmtId="0" xfId="0" applyBorder="1" applyFont="1"/>
    <xf borderId="63" fillId="0" fontId="5" numFmtId="0" xfId="0" applyBorder="1" applyFont="1"/>
    <xf borderId="37" fillId="3" fontId="5" numFmtId="0" xfId="0" applyBorder="1" applyFont="1"/>
    <xf borderId="13" fillId="0" fontId="5" numFmtId="0" xfId="0" applyBorder="1" applyFont="1"/>
    <xf borderId="64" fillId="0" fontId="5" numFmtId="0" xfId="0" applyAlignment="1" applyBorder="1" applyFont="1">
      <alignment horizontal="right"/>
    </xf>
    <xf borderId="65" fillId="0" fontId="5" numFmtId="0" xfId="0" applyBorder="1" applyFont="1"/>
    <xf borderId="39" fillId="3" fontId="5" numFmtId="0" xfId="0" applyBorder="1" applyFont="1"/>
    <xf borderId="31" fillId="0" fontId="5" numFmtId="0" xfId="0" applyBorder="1" applyFont="1"/>
    <xf borderId="44" fillId="8" fontId="5" numFmtId="0" xfId="0" applyAlignment="1" applyBorder="1" applyFont="1">
      <alignment readingOrder="0"/>
    </xf>
    <xf borderId="51" fillId="8" fontId="5" numFmtId="0" xfId="0" applyBorder="1" applyFont="1"/>
    <xf borderId="41" fillId="8" fontId="5" numFmtId="0" xfId="0" applyBorder="1" applyFont="1"/>
    <xf borderId="66" fillId="8" fontId="5" numFmtId="0" xfId="0" applyBorder="1" applyFont="1"/>
    <xf borderId="67" fillId="0" fontId="5" numFmtId="0" xfId="0" applyBorder="1" applyFont="1"/>
    <xf borderId="68" fillId="3" fontId="5" numFmtId="0" xfId="0" applyAlignment="1" applyBorder="1" applyFont="1">
      <alignment horizontal="right" readingOrder="0"/>
    </xf>
    <xf borderId="69" fillId="8" fontId="5" numFmtId="0" xfId="0" applyAlignment="1" applyBorder="1" applyFont="1">
      <alignment readingOrder="0"/>
    </xf>
    <xf borderId="70" fillId="8" fontId="5" numFmtId="0" xfId="0" applyBorder="1" applyFont="1"/>
    <xf borderId="69" fillId="8" fontId="5" numFmtId="0" xfId="0" applyBorder="1" applyFont="1"/>
    <xf borderId="25" fillId="8" fontId="5" numFmtId="0" xfId="0" applyBorder="1" applyFont="1"/>
    <xf borderId="9" fillId="3" fontId="5" numFmtId="0" xfId="0" applyAlignment="1" applyBorder="1" applyFont="1">
      <alignment horizontal="right" readingOrder="0"/>
    </xf>
    <xf borderId="15" fillId="3" fontId="5" numFmtId="0" xfId="0" applyAlignment="1" applyBorder="1" applyFont="1">
      <alignment horizontal="right" readingOrder="0"/>
    </xf>
    <xf borderId="27" fillId="0" fontId="4" numFmtId="0" xfId="0" applyAlignment="1" applyBorder="1" applyFont="1">
      <alignment horizontal="right" readingOrder="0"/>
    </xf>
    <xf borderId="60" fillId="8" fontId="5" numFmtId="0" xfId="0" applyAlignment="1" applyBorder="1" applyFont="1">
      <alignment readingOrder="0"/>
    </xf>
    <xf borderId="71" fillId="8" fontId="5" numFmtId="0" xfId="0" applyBorder="1" applyFont="1"/>
    <xf borderId="72" fillId="8" fontId="5" numFmtId="0" xfId="0" applyBorder="1" applyFont="1"/>
    <xf borderId="73" fillId="8" fontId="5" numFmtId="0" xfId="0" applyBorder="1" applyFont="1"/>
    <xf borderId="60" fillId="8" fontId="5" numFmtId="0" xfId="0" applyBorder="1" applyFont="1"/>
    <xf borderId="74" fillId="8" fontId="5" numFmtId="0" xfId="0" applyBorder="1" applyFont="1"/>
    <xf borderId="75" fillId="0" fontId="4" numFmtId="0" xfId="0" applyAlignment="1" applyBorder="1" applyFont="1">
      <alignment horizontal="right" readingOrder="0" shrinkToFit="0" vertical="center" wrapText="1"/>
    </xf>
    <xf borderId="8" fillId="8" fontId="5" numFmtId="0" xfId="0" applyAlignment="1" applyBorder="1" applyFont="1">
      <alignment horizontal="right" readingOrder="0"/>
    </xf>
    <xf borderId="9" fillId="0" fontId="5" numFmtId="0" xfId="0" applyBorder="1" applyFont="1"/>
    <xf borderId="14" fillId="8" fontId="5" numFmtId="0" xfId="0" applyAlignment="1" applyBorder="1" applyFont="1">
      <alignment horizontal="right" readingOrder="0"/>
    </xf>
    <xf borderId="26" fillId="8" fontId="5" numFmtId="0" xfId="0" applyAlignment="1" applyBorder="1" applyFont="1">
      <alignment horizontal="right" readingOrder="0"/>
    </xf>
    <xf borderId="4" fillId="0" fontId="4" numFmtId="0" xfId="0" applyAlignment="1" applyBorder="1" applyFont="1">
      <alignment horizontal="center" readingOrder="0" shrinkToFit="0" vertical="center" wrapText="1"/>
    </xf>
    <xf borderId="12" fillId="3" fontId="5" numFmtId="0" xfId="0" applyAlignment="1" applyBorder="1" applyFont="1">
      <alignment horizontal="right" readingOrder="0"/>
    </xf>
    <xf borderId="60" fillId="3" fontId="5" numFmtId="0" xfId="0" applyAlignment="1" applyBorder="1" applyFont="1">
      <alignment horizontal="right" readingOrder="0"/>
    </xf>
    <xf borderId="71" fillId="3" fontId="5" numFmtId="0" xfId="0" applyBorder="1" applyFont="1"/>
    <xf borderId="76" fillId="0" fontId="5" numFmtId="0" xfId="0" applyBorder="1" applyFont="1"/>
    <xf borderId="77" fillId="0" fontId="5" numFmtId="0" xfId="0" applyBorder="1" applyFont="1"/>
    <xf borderId="51" fillId="8" fontId="5" numFmtId="0" xfId="0" applyAlignment="1" applyBorder="1" applyFont="1">
      <alignment readingOrder="0"/>
    </xf>
    <xf borderId="78" fillId="0" fontId="5" numFmtId="0" xfId="0" applyBorder="1" applyFont="1"/>
    <xf borderId="18" fillId="0" fontId="5" numFmtId="0" xfId="0" applyAlignment="1" applyBorder="1" applyFont="1">
      <alignment horizontal="right" readingOrder="0"/>
    </xf>
    <xf borderId="24" fillId="0" fontId="5" numFmtId="0" xfId="0" applyAlignment="1" applyBorder="1" applyFont="1">
      <alignment horizontal="right" readingOrder="0"/>
    </xf>
    <xf borderId="30" fillId="0" fontId="5" numFmtId="0" xfId="0" applyAlignment="1" applyBorder="1" applyFont="1">
      <alignment horizontal="right"/>
    </xf>
    <xf borderId="79" fillId="0" fontId="5" numFmtId="0" xfId="0" applyBorder="1" applyFont="1"/>
    <xf borderId="12" fillId="3" fontId="5" numFmtId="0" xfId="0" applyAlignment="1" applyBorder="1" applyFont="1">
      <alignment readingOrder="0"/>
    </xf>
    <xf borderId="51" fillId="3" fontId="5" numFmtId="0" xfId="0" applyAlignment="1" applyBorder="1" applyFont="1">
      <alignment readingOrder="0"/>
    </xf>
    <xf borderId="80" fillId="0" fontId="5" numFmtId="0" xfId="0" applyBorder="1" applyFont="1"/>
    <xf borderId="18" fillId="3" fontId="5" numFmtId="0" xfId="0" applyBorder="1" applyFont="1"/>
    <xf borderId="18" fillId="3" fontId="5" numFmtId="0" xfId="0" applyAlignment="1" applyBorder="1" applyFont="1">
      <alignment readingOrder="0"/>
    </xf>
    <xf borderId="30" fillId="0" fontId="5" numFmtId="0" xfId="0" applyAlignment="1" applyBorder="1" applyFont="1">
      <alignment horizontal="right" readingOrder="0"/>
    </xf>
    <xf borderId="30" fillId="0" fontId="4" numFmtId="0" xfId="0" applyAlignment="1" applyBorder="1" applyFont="1">
      <alignment horizontal="right" readingOrder="0"/>
    </xf>
    <xf borderId="30" fillId="3" fontId="5" numFmtId="0" xfId="0" applyAlignment="1" applyBorder="1" applyFont="1">
      <alignment horizontal="right"/>
    </xf>
    <xf borderId="30" fillId="3" fontId="5" numFmtId="0" xfId="0" applyAlignment="1" applyBorder="1" applyFont="1">
      <alignment horizontal="right" readingOrder="0"/>
    </xf>
    <xf borderId="18" fillId="0" fontId="5" numFmtId="0" xfId="0" applyAlignment="1" applyBorder="1" applyFont="1">
      <alignment horizontal="right"/>
    </xf>
    <xf borderId="70" fillId="3" fontId="5" numFmtId="0" xfId="0" applyBorder="1" applyFont="1"/>
    <xf borderId="48" fillId="3" fontId="5" numFmtId="0" xfId="0" applyBorder="1" applyFont="1"/>
    <xf borderId="49" fillId="3" fontId="5" numFmtId="0" xfId="0" applyBorder="1" applyFont="1"/>
    <xf borderId="66" fillId="3" fontId="5" numFmtId="0" xfId="0" applyBorder="1" applyFont="1"/>
    <xf borderId="33" fillId="0" fontId="4" numFmtId="0" xfId="0" applyAlignment="1" applyBorder="1" applyFont="1">
      <alignment horizontal="right" readingOrder="0" vertical="center"/>
    </xf>
    <xf borderId="81" fillId="0" fontId="4" numFmtId="0" xfId="0" applyAlignment="1" applyBorder="1" applyFont="1">
      <alignment horizontal="right" readingOrder="0" shrinkToFit="0" vertical="center" wrapText="1"/>
    </xf>
    <xf borderId="82" fillId="0" fontId="4" numFmtId="0" xfId="0" applyAlignment="1" applyBorder="1" applyFont="1">
      <alignment horizontal="right" readingOrder="0" shrinkToFit="0" vertical="center" wrapText="1"/>
    </xf>
    <xf borderId="59" fillId="0" fontId="4" numFmtId="0" xfId="0" applyAlignment="1" applyBorder="1" applyFont="1">
      <alignment horizontal="right" readingOrder="0" vertical="center"/>
    </xf>
    <xf borderId="55" fillId="0" fontId="4" numFmtId="0" xfId="0" applyAlignment="1" applyBorder="1" applyFont="1">
      <alignment horizontal="right" readingOrder="0" shrinkToFit="0" vertical="center" wrapText="1"/>
    </xf>
    <xf borderId="83" fillId="0" fontId="4" numFmtId="0" xfId="0" applyAlignment="1" applyBorder="1" applyFont="1">
      <alignment horizontal="right" readingOrder="0" shrinkToFit="0" vertical="center" wrapText="1"/>
    </xf>
    <xf borderId="59" fillId="0" fontId="4" numFmtId="0" xfId="0" applyAlignment="1" applyBorder="1" applyFont="1">
      <alignment horizontal="right" readingOrder="0" shrinkToFit="0" vertical="center" wrapText="1"/>
    </xf>
    <xf borderId="44" fillId="9" fontId="5" numFmtId="0" xfId="0" applyAlignment="1" applyBorder="1" applyFill="1" applyFont="1">
      <alignment horizontal="right" readingOrder="0"/>
    </xf>
    <xf borderId="84" fillId="0" fontId="5" numFmtId="0" xfId="0" applyBorder="1" applyFont="1"/>
    <xf borderId="85" fillId="0" fontId="5" numFmtId="0" xfId="0" applyBorder="1" applyFont="1"/>
    <xf borderId="50" fillId="3" fontId="5" numFmtId="0" xfId="0" applyBorder="1" applyFont="1"/>
    <xf borderId="26" fillId="9" fontId="5" numFmtId="0" xfId="0" applyAlignment="1" applyBorder="1" applyFont="1">
      <alignment horizontal="right" readingOrder="0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betka/Dropbox/&#1514;&#1495;&#1512;&#1493;&#1497;&#1493;&#1514;%202025/&#1512;&#1497;&#1497;&#1504;&#1497;&#1504;&#1490;/&#1514;&#1495;&#1512;&#1493;&#1514;%201+2/&#1488;&#1511;&#1505;&#1500;%20&#1489;&#1493;&#1490;&#1512;&#1497;&#1501;%201+2%202025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קופה"/>
      <sheetName val="קבלות"/>
      <sheetName val="תוכנה"/>
      <sheetName val=" התאחדות"/>
      <sheetName val="צ'קים"/>
      <sheetName val="נסורת"/>
      <sheetName val="לוז"/>
      <sheetName val="ספא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4.5"/>
    <col customWidth="1" min="2" max="2" width="27.63"/>
    <col customWidth="1" min="3" max="6" width="10.13"/>
    <col customWidth="1" min="7" max="7" width="8.63"/>
    <col customWidth="1" min="8" max="9" width="11.13"/>
    <col customWidth="1" min="10" max="10" width="11.5"/>
    <col customWidth="1" min="11" max="11" width="11.13"/>
    <col customWidth="1" min="12" max="14" width="10.63"/>
    <col customWidth="1" min="15" max="15" width="8.13"/>
    <col customWidth="1" min="16" max="16" width="4.63"/>
    <col customWidth="1" min="17" max="17" width="8.63"/>
    <col customWidth="1" min="18" max="18" width="47.63"/>
    <col customWidth="1" min="19" max="26" width="8.63"/>
  </cols>
  <sheetData>
    <row r="1" ht="13.5" customHeight="1">
      <c r="B1" s="1" t="s">
        <v>0</v>
      </c>
    </row>
    <row r="2" ht="13.5" customHeight="1">
      <c r="B2" s="2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4"/>
      <c r="R2" s="4"/>
    </row>
    <row r="3" ht="13.5" customHeight="1">
      <c r="B3" s="5" t="s">
        <v>2</v>
      </c>
      <c r="C3" s="6" t="s">
        <v>3</v>
      </c>
      <c r="D3" s="7" t="s">
        <v>4</v>
      </c>
      <c r="E3" s="7" t="s">
        <v>5</v>
      </c>
      <c r="F3" s="7" t="s">
        <v>6</v>
      </c>
      <c r="G3" s="8" t="s">
        <v>7</v>
      </c>
      <c r="H3" s="7" t="s">
        <v>8</v>
      </c>
      <c r="I3" s="7" t="s">
        <v>9</v>
      </c>
      <c r="J3" s="9" t="s">
        <v>10</v>
      </c>
      <c r="K3" s="7" t="s">
        <v>11</v>
      </c>
      <c r="L3" s="10" t="s">
        <v>12</v>
      </c>
      <c r="M3" s="10" t="s">
        <v>13</v>
      </c>
      <c r="N3" s="10" t="s">
        <v>14</v>
      </c>
      <c r="O3" s="11" t="s">
        <v>15</v>
      </c>
    </row>
    <row r="4" ht="13.5" customHeight="1">
      <c r="B4" s="12" t="s">
        <v>16</v>
      </c>
      <c r="C4" s="13">
        <v>14.0</v>
      </c>
      <c r="D4" s="14">
        <v>50.0</v>
      </c>
      <c r="E4" s="14">
        <v>0.0</v>
      </c>
      <c r="F4" s="14">
        <f t="shared" ref="F4:F37" si="1">G4-E4-D4</f>
        <v>0</v>
      </c>
      <c r="G4" s="15">
        <v>50.0</v>
      </c>
      <c r="H4" s="13">
        <f t="shared" ref="H4:H37" si="2">D4*C4</f>
        <v>700</v>
      </c>
      <c r="I4" s="14">
        <f t="shared" ref="I4:I37" si="3">C4*E4</f>
        <v>0</v>
      </c>
      <c r="J4" s="16">
        <f t="shared" ref="J4:J37" si="4">C4*G4</f>
        <v>700</v>
      </c>
      <c r="K4" s="14">
        <f t="shared" ref="K4:K37" si="5">F4*C4</f>
        <v>0</v>
      </c>
      <c r="L4" s="15">
        <v>0.0</v>
      </c>
      <c r="M4" s="15">
        <f t="shared" ref="M4:M37" si="6">L4+K4</f>
        <v>0</v>
      </c>
      <c r="N4" s="15">
        <v>0.0</v>
      </c>
      <c r="O4" s="17">
        <f t="shared" ref="O4:O37" si="7">M4-N4</f>
        <v>0</v>
      </c>
      <c r="P4" s="18"/>
    </row>
    <row r="5" ht="13.5" customHeight="1">
      <c r="B5" s="19" t="s">
        <v>17</v>
      </c>
      <c r="C5" s="20">
        <v>4.0</v>
      </c>
      <c r="D5" s="21">
        <v>50.0</v>
      </c>
      <c r="E5" s="21">
        <v>50.0</v>
      </c>
      <c r="F5" s="21">
        <f t="shared" si="1"/>
        <v>50</v>
      </c>
      <c r="G5" s="22">
        <v>150.0</v>
      </c>
      <c r="H5" s="20">
        <f t="shared" si="2"/>
        <v>200</v>
      </c>
      <c r="I5" s="21">
        <f t="shared" si="3"/>
        <v>200</v>
      </c>
      <c r="J5" s="23">
        <f t="shared" si="4"/>
        <v>600</v>
      </c>
      <c r="K5" s="21">
        <f t="shared" si="5"/>
        <v>200</v>
      </c>
      <c r="L5" s="22">
        <v>0.0</v>
      </c>
      <c r="M5" s="22">
        <f t="shared" si="6"/>
        <v>200</v>
      </c>
      <c r="N5" s="22">
        <v>200.0</v>
      </c>
      <c r="O5" s="24">
        <f t="shared" si="7"/>
        <v>0</v>
      </c>
      <c r="P5" s="18"/>
    </row>
    <row r="6" ht="13.5" customHeight="1">
      <c r="B6" s="25" t="s">
        <v>18</v>
      </c>
      <c r="C6" s="20">
        <v>11.0</v>
      </c>
      <c r="D6" s="21">
        <v>50.0</v>
      </c>
      <c r="E6" s="21">
        <v>50.0</v>
      </c>
      <c r="F6" s="21">
        <f t="shared" si="1"/>
        <v>100</v>
      </c>
      <c r="G6" s="22">
        <v>200.0</v>
      </c>
      <c r="H6" s="20">
        <f t="shared" si="2"/>
        <v>550</v>
      </c>
      <c r="I6" s="21">
        <f t="shared" si="3"/>
        <v>550</v>
      </c>
      <c r="J6" s="23">
        <f t="shared" si="4"/>
        <v>2200</v>
      </c>
      <c r="K6" s="21">
        <f t="shared" si="5"/>
        <v>1100</v>
      </c>
      <c r="L6" s="22">
        <v>0.0</v>
      </c>
      <c r="M6" s="22">
        <f t="shared" si="6"/>
        <v>1100</v>
      </c>
      <c r="N6" s="22">
        <v>1100.0</v>
      </c>
      <c r="O6" s="24">
        <f t="shared" si="7"/>
        <v>0</v>
      </c>
      <c r="P6" s="18"/>
    </row>
    <row r="7" ht="13.5" customHeight="1">
      <c r="B7" s="19" t="s">
        <v>19</v>
      </c>
      <c r="C7" s="20">
        <v>15.0</v>
      </c>
      <c r="D7" s="21">
        <v>30.0</v>
      </c>
      <c r="E7" s="21">
        <v>0.0</v>
      </c>
      <c r="F7" s="21">
        <f t="shared" si="1"/>
        <v>0</v>
      </c>
      <c r="G7" s="22">
        <v>30.0</v>
      </c>
      <c r="H7" s="20">
        <f t="shared" si="2"/>
        <v>450</v>
      </c>
      <c r="I7" s="21">
        <f t="shared" si="3"/>
        <v>0</v>
      </c>
      <c r="J7" s="23">
        <f t="shared" si="4"/>
        <v>450</v>
      </c>
      <c r="K7" s="21">
        <f t="shared" si="5"/>
        <v>0</v>
      </c>
      <c r="L7" s="22">
        <v>0.0</v>
      </c>
      <c r="M7" s="22">
        <f t="shared" si="6"/>
        <v>0</v>
      </c>
      <c r="N7" s="22">
        <v>0.0</v>
      </c>
      <c r="O7" s="24">
        <f t="shared" si="7"/>
        <v>0</v>
      </c>
      <c r="P7" s="18"/>
    </row>
    <row r="8" ht="13.5" customHeight="1">
      <c r="B8" s="26" t="s">
        <v>20</v>
      </c>
      <c r="C8" s="20">
        <v>4.0</v>
      </c>
      <c r="D8" s="21">
        <v>30.0</v>
      </c>
      <c r="E8" s="21">
        <v>0.0</v>
      </c>
      <c r="F8" s="21">
        <f t="shared" si="1"/>
        <v>0</v>
      </c>
      <c r="G8" s="22">
        <v>30.0</v>
      </c>
      <c r="H8" s="20">
        <f t="shared" si="2"/>
        <v>120</v>
      </c>
      <c r="I8" s="21">
        <f t="shared" si="3"/>
        <v>0</v>
      </c>
      <c r="J8" s="23">
        <f t="shared" si="4"/>
        <v>120</v>
      </c>
      <c r="K8" s="21">
        <f t="shared" si="5"/>
        <v>0</v>
      </c>
      <c r="L8" s="22">
        <v>0.0</v>
      </c>
      <c r="M8" s="22">
        <f t="shared" si="6"/>
        <v>0</v>
      </c>
      <c r="N8" s="22">
        <v>0.0</v>
      </c>
      <c r="O8" s="24">
        <f t="shared" si="7"/>
        <v>0</v>
      </c>
      <c r="P8" s="18"/>
    </row>
    <row r="9" ht="13.5" customHeight="1">
      <c r="B9" s="19" t="s">
        <v>21</v>
      </c>
      <c r="C9" s="20">
        <v>11.0</v>
      </c>
      <c r="D9" s="21">
        <v>50.0</v>
      </c>
      <c r="E9" s="21">
        <v>50.0</v>
      </c>
      <c r="F9" s="21">
        <f t="shared" si="1"/>
        <v>100</v>
      </c>
      <c r="G9" s="22">
        <v>200.0</v>
      </c>
      <c r="H9" s="20">
        <f t="shared" si="2"/>
        <v>550</v>
      </c>
      <c r="I9" s="21">
        <f t="shared" si="3"/>
        <v>550</v>
      </c>
      <c r="J9" s="23">
        <f t="shared" si="4"/>
        <v>2200</v>
      </c>
      <c r="K9" s="21">
        <f t="shared" si="5"/>
        <v>1100</v>
      </c>
      <c r="L9" s="22">
        <v>0.0</v>
      </c>
      <c r="M9" s="22">
        <f t="shared" si="6"/>
        <v>1100</v>
      </c>
      <c r="N9" s="22">
        <v>1100.0</v>
      </c>
      <c r="O9" s="24">
        <f t="shared" si="7"/>
        <v>0</v>
      </c>
    </row>
    <row r="10" ht="13.5" customHeight="1">
      <c r="B10" s="19" t="s">
        <v>22</v>
      </c>
      <c r="C10" s="27">
        <v>11.0</v>
      </c>
      <c r="D10" s="21">
        <v>50.0</v>
      </c>
      <c r="E10" s="21">
        <v>50.0</v>
      </c>
      <c r="F10" s="21">
        <f t="shared" si="1"/>
        <v>100</v>
      </c>
      <c r="G10" s="22">
        <v>200.0</v>
      </c>
      <c r="H10" s="20">
        <f t="shared" si="2"/>
        <v>550</v>
      </c>
      <c r="I10" s="21">
        <f t="shared" si="3"/>
        <v>550</v>
      </c>
      <c r="J10" s="23">
        <f t="shared" si="4"/>
        <v>2200</v>
      </c>
      <c r="K10" s="21">
        <f t="shared" si="5"/>
        <v>1100</v>
      </c>
      <c r="L10" s="22">
        <f>600*4</f>
        <v>2400</v>
      </c>
      <c r="M10" s="22">
        <f t="shared" si="6"/>
        <v>3500</v>
      </c>
      <c r="N10" s="22">
        <v>3863.08</v>
      </c>
      <c r="O10" s="24">
        <f t="shared" si="7"/>
        <v>-363.08</v>
      </c>
      <c r="Q10" s="28"/>
    </row>
    <row r="11" ht="13.5" customHeight="1">
      <c r="B11" s="19" t="s">
        <v>23</v>
      </c>
      <c r="C11" s="20">
        <v>10.0</v>
      </c>
      <c r="D11" s="21">
        <v>50.0</v>
      </c>
      <c r="E11" s="21">
        <v>50.0</v>
      </c>
      <c r="F11" s="21">
        <f t="shared" si="1"/>
        <v>50</v>
      </c>
      <c r="G11" s="22">
        <v>150.0</v>
      </c>
      <c r="H11" s="20">
        <f t="shared" si="2"/>
        <v>500</v>
      </c>
      <c r="I11" s="21">
        <f t="shared" si="3"/>
        <v>500</v>
      </c>
      <c r="J11" s="23">
        <f t="shared" si="4"/>
        <v>1500</v>
      </c>
      <c r="K11" s="21">
        <f t="shared" si="5"/>
        <v>500</v>
      </c>
      <c r="L11" s="22">
        <f>300*4</f>
        <v>1200</v>
      </c>
      <c r="M11" s="22">
        <f t="shared" si="6"/>
        <v>1700</v>
      </c>
      <c r="N11" s="22">
        <v>1998.0</v>
      </c>
      <c r="O11" s="24">
        <f t="shared" si="7"/>
        <v>-298</v>
      </c>
      <c r="Q11" s="28"/>
    </row>
    <row r="12" ht="13.5" customHeight="1">
      <c r="B12" s="29" t="s">
        <v>24</v>
      </c>
      <c r="C12" s="20">
        <v>13.0</v>
      </c>
      <c r="D12" s="21">
        <v>50.0</v>
      </c>
      <c r="E12" s="21">
        <v>50.0</v>
      </c>
      <c r="F12" s="21">
        <f t="shared" si="1"/>
        <v>100</v>
      </c>
      <c r="G12" s="22">
        <v>200.0</v>
      </c>
      <c r="H12" s="20">
        <f t="shared" si="2"/>
        <v>650</v>
      </c>
      <c r="I12" s="21">
        <f t="shared" si="3"/>
        <v>650</v>
      </c>
      <c r="J12" s="23">
        <f t="shared" si="4"/>
        <v>2600</v>
      </c>
      <c r="K12" s="21">
        <f t="shared" si="5"/>
        <v>1300</v>
      </c>
      <c r="L12" s="22">
        <f>500*4</f>
        <v>2000</v>
      </c>
      <c r="M12" s="22">
        <f t="shared" si="6"/>
        <v>3300</v>
      </c>
      <c r="N12" s="22">
        <v>3728.58</v>
      </c>
      <c r="O12" s="24">
        <f t="shared" si="7"/>
        <v>-428.58</v>
      </c>
    </row>
    <row r="13" ht="13.5" customHeight="1">
      <c r="B13" s="19" t="s">
        <v>16</v>
      </c>
      <c r="C13" s="20">
        <v>7.0</v>
      </c>
      <c r="D13" s="21">
        <v>50.0</v>
      </c>
      <c r="E13" s="21">
        <v>0.0</v>
      </c>
      <c r="F13" s="21">
        <f t="shared" si="1"/>
        <v>0</v>
      </c>
      <c r="G13" s="22">
        <v>50.0</v>
      </c>
      <c r="H13" s="20">
        <f t="shared" si="2"/>
        <v>350</v>
      </c>
      <c r="I13" s="21">
        <f t="shared" si="3"/>
        <v>0</v>
      </c>
      <c r="J13" s="23">
        <f t="shared" si="4"/>
        <v>350</v>
      </c>
      <c r="K13" s="21">
        <f t="shared" si="5"/>
        <v>0</v>
      </c>
      <c r="L13" s="22">
        <v>0.0</v>
      </c>
      <c r="M13" s="22">
        <f t="shared" si="6"/>
        <v>0</v>
      </c>
      <c r="N13" s="22">
        <v>0.0</v>
      </c>
      <c r="O13" s="24">
        <f t="shared" si="7"/>
        <v>0</v>
      </c>
    </row>
    <row r="14" ht="13.5" customHeight="1">
      <c r="B14" s="19" t="s">
        <v>25</v>
      </c>
      <c r="C14" s="20">
        <v>17.0</v>
      </c>
      <c r="D14" s="21">
        <v>50.0</v>
      </c>
      <c r="E14" s="21">
        <v>50.0</v>
      </c>
      <c r="F14" s="21">
        <f t="shared" si="1"/>
        <v>100</v>
      </c>
      <c r="G14" s="22">
        <v>200.0</v>
      </c>
      <c r="H14" s="20">
        <f t="shared" si="2"/>
        <v>850</v>
      </c>
      <c r="I14" s="21">
        <f t="shared" si="3"/>
        <v>850</v>
      </c>
      <c r="J14" s="23">
        <f t="shared" si="4"/>
        <v>3400</v>
      </c>
      <c r="K14" s="21">
        <f t="shared" si="5"/>
        <v>1700</v>
      </c>
      <c r="L14" s="22">
        <f>500*4</f>
        <v>2000</v>
      </c>
      <c r="M14" s="22">
        <f t="shared" si="6"/>
        <v>3700</v>
      </c>
      <c r="N14" s="22">
        <v>4260.99</v>
      </c>
      <c r="O14" s="24">
        <f t="shared" si="7"/>
        <v>-560.99</v>
      </c>
    </row>
    <row r="15" ht="13.5" customHeight="1">
      <c r="B15" s="19" t="s">
        <v>26</v>
      </c>
      <c r="C15" s="20">
        <v>8.0</v>
      </c>
      <c r="D15" s="21">
        <v>50.0</v>
      </c>
      <c r="E15" s="21">
        <v>50.0</v>
      </c>
      <c r="F15" s="21">
        <f t="shared" si="1"/>
        <v>50</v>
      </c>
      <c r="G15" s="22">
        <v>150.0</v>
      </c>
      <c r="H15" s="20">
        <f t="shared" si="2"/>
        <v>400</v>
      </c>
      <c r="I15" s="21">
        <f t="shared" si="3"/>
        <v>400</v>
      </c>
      <c r="J15" s="23">
        <f t="shared" si="4"/>
        <v>1200</v>
      </c>
      <c r="K15" s="21">
        <f t="shared" si="5"/>
        <v>400</v>
      </c>
      <c r="L15" s="22">
        <f>300*4</f>
        <v>1200</v>
      </c>
      <c r="M15" s="22">
        <f t="shared" si="6"/>
        <v>1600</v>
      </c>
      <c r="N15" s="22">
        <v>1838.4</v>
      </c>
      <c r="O15" s="24">
        <f t="shared" si="7"/>
        <v>-238.4</v>
      </c>
    </row>
    <row r="16" ht="13.5" customHeight="1">
      <c r="B16" s="19" t="s">
        <v>27</v>
      </c>
      <c r="C16" s="20">
        <v>10.0</v>
      </c>
      <c r="D16" s="21">
        <v>50.0</v>
      </c>
      <c r="E16" s="21">
        <v>50.0</v>
      </c>
      <c r="F16" s="21">
        <f t="shared" si="1"/>
        <v>50</v>
      </c>
      <c r="G16" s="22">
        <v>150.0</v>
      </c>
      <c r="H16" s="20">
        <f t="shared" si="2"/>
        <v>500</v>
      </c>
      <c r="I16" s="21">
        <f t="shared" si="3"/>
        <v>500</v>
      </c>
      <c r="J16" s="23">
        <f t="shared" si="4"/>
        <v>1500</v>
      </c>
      <c r="K16" s="21">
        <f t="shared" si="5"/>
        <v>500</v>
      </c>
      <c r="L16" s="22">
        <f>400*4</f>
        <v>1600</v>
      </c>
      <c r="M16" s="22">
        <f t="shared" si="6"/>
        <v>2100</v>
      </c>
      <c r="N16" s="22">
        <v>2662.5</v>
      </c>
      <c r="O16" s="24">
        <f t="shared" si="7"/>
        <v>-562.5</v>
      </c>
    </row>
    <row r="17" ht="13.5" customHeight="1">
      <c r="B17" s="19" t="s">
        <v>28</v>
      </c>
      <c r="C17" s="20">
        <v>10.0</v>
      </c>
      <c r="D17" s="21">
        <v>30.0</v>
      </c>
      <c r="E17" s="21">
        <v>0.0</v>
      </c>
      <c r="F17" s="21">
        <f t="shared" si="1"/>
        <v>0</v>
      </c>
      <c r="G17" s="22">
        <v>30.0</v>
      </c>
      <c r="H17" s="20">
        <f t="shared" si="2"/>
        <v>300</v>
      </c>
      <c r="I17" s="21">
        <f t="shared" si="3"/>
        <v>0</v>
      </c>
      <c r="J17" s="23">
        <f t="shared" si="4"/>
        <v>300</v>
      </c>
      <c r="K17" s="21">
        <f t="shared" si="5"/>
        <v>0</v>
      </c>
      <c r="L17" s="22">
        <v>0.0</v>
      </c>
      <c r="M17" s="22">
        <f t="shared" si="6"/>
        <v>0</v>
      </c>
      <c r="N17" s="22">
        <v>0.0</v>
      </c>
      <c r="O17" s="24">
        <f t="shared" si="7"/>
        <v>0</v>
      </c>
    </row>
    <row r="18" ht="13.5" customHeight="1">
      <c r="B18" s="19" t="s">
        <v>29</v>
      </c>
      <c r="C18" s="20">
        <v>2.0</v>
      </c>
      <c r="D18" s="21">
        <v>30.0</v>
      </c>
      <c r="E18" s="21">
        <v>0.0</v>
      </c>
      <c r="F18" s="21">
        <f t="shared" si="1"/>
        <v>0</v>
      </c>
      <c r="G18" s="22">
        <v>30.0</v>
      </c>
      <c r="H18" s="20">
        <f t="shared" si="2"/>
        <v>60</v>
      </c>
      <c r="I18" s="21">
        <f t="shared" si="3"/>
        <v>0</v>
      </c>
      <c r="J18" s="23">
        <f t="shared" si="4"/>
        <v>60</v>
      </c>
      <c r="K18" s="21">
        <f t="shared" si="5"/>
        <v>0</v>
      </c>
      <c r="L18" s="22">
        <v>0.0</v>
      </c>
      <c r="M18" s="22">
        <f t="shared" si="6"/>
        <v>0</v>
      </c>
      <c r="N18" s="22">
        <v>0.0</v>
      </c>
      <c r="O18" s="24">
        <f t="shared" si="7"/>
        <v>0</v>
      </c>
    </row>
    <row r="19" ht="13.5" customHeight="1">
      <c r="B19" s="19" t="s">
        <v>30</v>
      </c>
      <c r="C19" s="20">
        <v>10.0</v>
      </c>
      <c r="D19" s="21">
        <v>50.0</v>
      </c>
      <c r="E19" s="21">
        <v>50.0</v>
      </c>
      <c r="F19" s="21">
        <f t="shared" si="1"/>
        <v>100</v>
      </c>
      <c r="G19" s="22">
        <v>200.0</v>
      </c>
      <c r="H19" s="20">
        <f t="shared" si="2"/>
        <v>500</v>
      </c>
      <c r="I19" s="21">
        <f t="shared" si="3"/>
        <v>500</v>
      </c>
      <c r="J19" s="23">
        <f t="shared" si="4"/>
        <v>2000</v>
      </c>
      <c r="K19" s="21">
        <f t="shared" si="5"/>
        <v>1000</v>
      </c>
      <c r="L19" s="22">
        <v>0.0</v>
      </c>
      <c r="M19" s="22">
        <f t="shared" si="6"/>
        <v>1000</v>
      </c>
      <c r="N19" s="22">
        <v>1000.0</v>
      </c>
      <c r="O19" s="24">
        <f t="shared" si="7"/>
        <v>0</v>
      </c>
    </row>
    <row r="20" ht="13.5" customHeight="1">
      <c r="B20" s="30" t="s">
        <v>31</v>
      </c>
      <c r="C20" s="31">
        <v>8.0</v>
      </c>
      <c r="D20" s="32">
        <v>50.0</v>
      </c>
      <c r="E20" s="32">
        <v>50.0</v>
      </c>
      <c r="F20" s="32">
        <f t="shared" si="1"/>
        <v>100</v>
      </c>
      <c r="G20" s="33">
        <v>200.0</v>
      </c>
      <c r="H20" s="31">
        <f t="shared" si="2"/>
        <v>400</v>
      </c>
      <c r="I20" s="32">
        <f t="shared" si="3"/>
        <v>400</v>
      </c>
      <c r="J20" s="34">
        <f t="shared" si="4"/>
        <v>1600</v>
      </c>
      <c r="K20" s="32">
        <f t="shared" si="5"/>
        <v>800</v>
      </c>
      <c r="L20" s="33">
        <v>0.0</v>
      </c>
      <c r="M20" s="33">
        <f t="shared" si="6"/>
        <v>800</v>
      </c>
      <c r="N20" s="33">
        <v>800.0</v>
      </c>
      <c r="O20" s="35">
        <f t="shared" si="7"/>
        <v>0</v>
      </c>
    </row>
    <row r="21" ht="13.5" customHeight="1">
      <c r="B21" s="36" t="s">
        <v>16</v>
      </c>
      <c r="C21" s="13">
        <v>7.0</v>
      </c>
      <c r="D21" s="14">
        <v>50.0</v>
      </c>
      <c r="E21" s="14">
        <v>0.0</v>
      </c>
      <c r="F21" s="14">
        <f t="shared" si="1"/>
        <v>0</v>
      </c>
      <c r="G21" s="15">
        <v>50.0</v>
      </c>
      <c r="H21" s="13">
        <f t="shared" si="2"/>
        <v>350</v>
      </c>
      <c r="I21" s="14">
        <f t="shared" si="3"/>
        <v>0</v>
      </c>
      <c r="J21" s="16">
        <f t="shared" si="4"/>
        <v>350</v>
      </c>
      <c r="K21" s="14">
        <f t="shared" si="5"/>
        <v>0</v>
      </c>
      <c r="L21" s="14">
        <v>0.0</v>
      </c>
      <c r="M21" s="15">
        <f t="shared" si="6"/>
        <v>0</v>
      </c>
      <c r="N21" s="15">
        <v>0.0</v>
      </c>
      <c r="O21" s="17">
        <f t="shared" si="7"/>
        <v>0</v>
      </c>
    </row>
    <row r="22" ht="13.5" customHeight="1">
      <c r="B22" s="37" t="s">
        <v>32</v>
      </c>
      <c r="C22" s="20">
        <v>9.0</v>
      </c>
      <c r="D22" s="21">
        <v>50.0</v>
      </c>
      <c r="E22" s="21">
        <v>50.0</v>
      </c>
      <c r="F22" s="21">
        <f t="shared" si="1"/>
        <v>100</v>
      </c>
      <c r="G22" s="22">
        <v>200.0</v>
      </c>
      <c r="H22" s="20">
        <f t="shared" si="2"/>
        <v>450</v>
      </c>
      <c r="I22" s="21">
        <f t="shared" si="3"/>
        <v>450</v>
      </c>
      <c r="J22" s="23">
        <f t="shared" si="4"/>
        <v>1800</v>
      </c>
      <c r="K22" s="21">
        <f t="shared" si="5"/>
        <v>900</v>
      </c>
      <c r="L22" s="21">
        <v>0.0</v>
      </c>
      <c r="M22" s="22">
        <f t="shared" si="6"/>
        <v>900</v>
      </c>
      <c r="N22" s="22">
        <v>900.0</v>
      </c>
      <c r="O22" s="24">
        <f t="shared" si="7"/>
        <v>0</v>
      </c>
    </row>
    <row r="23" ht="13.5" customHeight="1">
      <c r="B23" s="37" t="s">
        <v>17</v>
      </c>
      <c r="C23" s="20">
        <v>5.0</v>
      </c>
      <c r="D23" s="21">
        <v>50.0</v>
      </c>
      <c r="E23" s="21">
        <v>50.0</v>
      </c>
      <c r="F23" s="21">
        <f t="shared" si="1"/>
        <v>50</v>
      </c>
      <c r="G23" s="22">
        <v>150.0</v>
      </c>
      <c r="H23" s="20">
        <f t="shared" si="2"/>
        <v>250</v>
      </c>
      <c r="I23" s="21">
        <f t="shared" si="3"/>
        <v>250</v>
      </c>
      <c r="J23" s="23">
        <f t="shared" si="4"/>
        <v>750</v>
      </c>
      <c r="K23" s="21">
        <f t="shared" si="5"/>
        <v>250</v>
      </c>
      <c r="L23" s="21">
        <v>0.0</v>
      </c>
      <c r="M23" s="22">
        <f t="shared" si="6"/>
        <v>250</v>
      </c>
      <c r="N23" s="22">
        <v>250.0</v>
      </c>
      <c r="O23" s="24">
        <f t="shared" si="7"/>
        <v>0</v>
      </c>
    </row>
    <row r="24" ht="13.5" customHeight="1">
      <c r="B24" s="37" t="s">
        <v>19</v>
      </c>
      <c r="C24" s="20">
        <v>15.0</v>
      </c>
      <c r="D24" s="21">
        <v>30.0</v>
      </c>
      <c r="E24" s="21">
        <v>0.0</v>
      </c>
      <c r="F24" s="21">
        <f t="shared" si="1"/>
        <v>0</v>
      </c>
      <c r="G24" s="22">
        <v>30.0</v>
      </c>
      <c r="H24" s="20">
        <f t="shared" si="2"/>
        <v>450</v>
      </c>
      <c r="I24" s="21">
        <f t="shared" si="3"/>
        <v>0</v>
      </c>
      <c r="J24" s="23">
        <f t="shared" si="4"/>
        <v>450</v>
      </c>
      <c r="K24" s="21">
        <f t="shared" si="5"/>
        <v>0</v>
      </c>
      <c r="L24" s="21">
        <v>0.0</v>
      </c>
      <c r="M24" s="22">
        <f t="shared" si="6"/>
        <v>0</v>
      </c>
      <c r="N24" s="22">
        <v>0.0</v>
      </c>
      <c r="O24" s="24">
        <f t="shared" si="7"/>
        <v>0</v>
      </c>
    </row>
    <row r="25" ht="13.5" customHeight="1">
      <c r="B25" s="37" t="s">
        <v>33</v>
      </c>
      <c r="C25" s="20">
        <v>8.0</v>
      </c>
      <c r="D25" s="21">
        <v>50.0</v>
      </c>
      <c r="E25" s="21">
        <v>50.0</v>
      </c>
      <c r="F25" s="21">
        <f t="shared" si="1"/>
        <v>100</v>
      </c>
      <c r="G25" s="22">
        <v>200.0</v>
      </c>
      <c r="H25" s="20">
        <f t="shared" si="2"/>
        <v>400</v>
      </c>
      <c r="I25" s="21">
        <f t="shared" si="3"/>
        <v>400</v>
      </c>
      <c r="J25" s="23">
        <f t="shared" si="4"/>
        <v>1600</v>
      </c>
      <c r="K25" s="21">
        <f t="shared" si="5"/>
        <v>800</v>
      </c>
      <c r="L25" s="21">
        <v>0.0</v>
      </c>
      <c r="M25" s="22">
        <f t="shared" si="6"/>
        <v>800</v>
      </c>
      <c r="N25" s="22">
        <v>800.0</v>
      </c>
      <c r="O25" s="24">
        <f t="shared" si="7"/>
        <v>0</v>
      </c>
    </row>
    <row r="26" ht="13.5" customHeight="1">
      <c r="B26" s="38" t="s">
        <v>34</v>
      </c>
      <c r="C26" s="20">
        <v>4.0</v>
      </c>
      <c r="D26" s="21">
        <v>30.0</v>
      </c>
      <c r="E26" s="21">
        <v>0.0</v>
      </c>
      <c r="F26" s="21">
        <f t="shared" si="1"/>
        <v>0</v>
      </c>
      <c r="G26" s="22">
        <v>30.0</v>
      </c>
      <c r="H26" s="20">
        <f t="shared" si="2"/>
        <v>120</v>
      </c>
      <c r="I26" s="21">
        <f t="shared" si="3"/>
        <v>0</v>
      </c>
      <c r="J26" s="23">
        <f t="shared" si="4"/>
        <v>120</v>
      </c>
      <c r="K26" s="21">
        <f t="shared" si="5"/>
        <v>0</v>
      </c>
      <c r="L26" s="21">
        <v>0.0</v>
      </c>
      <c r="M26" s="22">
        <f t="shared" si="6"/>
        <v>0</v>
      </c>
      <c r="N26" s="22">
        <v>0.0</v>
      </c>
      <c r="O26" s="24">
        <f t="shared" si="7"/>
        <v>0</v>
      </c>
    </row>
    <row r="27" ht="13.5" customHeight="1">
      <c r="B27" s="37" t="s">
        <v>35</v>
      </c>
      <c r="C27" s="20">
        <v>11.0</v>
      </c>
      <c r="D27" s="21">
        <v>50.0</v>
      </c>
      <c r="E27" s="21">
        <v>50.0</v>
      </c>
      <c r="F27" s="21">
        <f t="shared" si="1"/>
        <v>100</v>
      </c>
      <c r="G27" s="22">
        <v>200.0</v>
      </c>
      <c r="H27" s="20">
        <f t="shared" si="2"/>
        <v>550</v>
      </c>
      <c r="I27" s="21">
        <f t="shared" si="3"/>
        <v>550</v>
      </c>
      <c r="J27" s="23">
        <f t="shared" si="4"/>
        <v>2200</v>
      </c>
      <c r="K27" s="21">
        <f t="shared" si="5"/>
        <v>1100</v>
      </c>
      <c r="L27" s="21">
        <v>0.0</v>
      </c>
      <c r="M27" s="22">
        <f t="shared" si="6"/>
        <v>1100</v>
      </c>
      <c r="N27" s="22">
        <v>1100.0</v>
      </c>
      <c r="O27" s="24">
        <f t="shared" si="7"/>
        <v>0</v>
      </c>
    </row>
    <row r="28" ht="13.5" customHeight="1">
      <c r="B28" s="37" t="s">
        <v>36</v>
      </c>
      <c r="C28" s="27">
        <v>10.0</v>
      </c>
      <c r="D28" s="21">
        <v>50.0</v>
      </c>
      <c r="E28" s="21">
        <v>50.0</v>
      </c>
      <c r="F28" s="21">
        <f t="shared" si="1"/>
        <v>300</v>
      </c>
      <c r="G28" s="22">
        <v>400.0</v>
      </c>
      <c r="H28" s="20">
        <f t="shared" si="2"/>
        <v>500</v>
      </c>
      <c r="I28" s="21">
        <f t="shared" si="3"/>
        <v>500</v>
      </c>
      <c r="J28" s="23">
        <f t="shared" si="4"/>
        <v>4000</v>
      </c>
      <c r="K28" s="21">
        <f t="shared" si="5"/>
        <v>3000</v>
      </c>
      <c r="L28" s="21">
        <f>1900*4</f>
        <v>7600</v>
      </c>
      <c r="M28" s="22">
        <f t="shared" si="6"/>
        <v>10600</v>
      </c>
      <c r="N28" s="22">
        <v>11590.0</v>
      </c>
      <c r="O28" s="24">
        <f t="shared" si="7"/>
        <v>-990</v>
      </c>
    </row>
    <row r="29" ht="13.5" customHeight="1">
      <c r="B29" s="37" t="s">
        <v>37</v>
      </c>
      <c r="C29" s="27">
        <v>9.0</v>
      </c>
      <c r="D29" s="21">
        <v>50.0</v>
      </c>
      <c r="E29" s="21">
        <v>50.0</v>
      </c>
      <c r="F29" s="21">
        <f t="shared" si="1"/>
        <v>100</v>
      </c>
      <c r="G29" s="22">
        <v>200.0</v>
      </c>
      <c r="H29" s="20">
        <f t="shared" si="2"/>
        <v>450</v>
      </c>
      <c r="I29" s="21">
        <f t="shared" si="3"/>
        <v>450</v>
      </c>
      <c r="J29" s="23">
        <f t="shared" si="4"/>
        <v>1800</v>
      </c>
      <c r="K29" s="21">
        <f t="shared" si="5"/>
        <v>900</v>
      </c>
      <c r="L29" s="21">
        <f>500*4</f>
        <v>2000</v>
      </c>
      <c r="M29" s="22">
        <f t="shared" si="6"/>
        <v>2900</v>
      </c>
      <c r="N29" s="22">
        <v>3197.0</v>
      </c>
      <c r="O29" s="24">
        <f t="shared" si="7"/>
        <v>-297</v>
      </c>
    </row>
    <row r="30" ht="13.5" customHeight="1">
      <c r="B30" s="38" t="s">
        <v>38</v>
      </c>
      <c r="C30" s="20">
        <v>14.0</v>
      </c>
      <c r="D30" s="21">
        <v>50.0</v>
      </c>
      <c r="E30" s="21">
        <v>50.0</v>
      </c>
      <c r="F30" s="21">
        <f t="shared" si="1"/>
        <v>150</v>
      </c>
      <c r="G30" s="22">
        <v>250.0</v>
      </c>
      <c r="H30" s="20">
        <f t="shared" si="2"/>
        <v>700</v>
      </c>
      <c r="I30" s="21">
        <f t="shared" si="3"/>
        <v>700</v>
      </c>
      <c r="J30" s="23">
        <f t="shared" si="4"/>
        <v>3500</v>
      </c>
      <c r="K30" s="21">
        <f t="shared" si="5"/>
        <v>2100</v>
      </c>
      <c r="L30" s="21">
        <f>850*4</f>
        <v>3400</v>
      </c>
      <c r="M30" s="22">
        <f t="shared" si="6"/>
        <v>5500</v>
      </c>
      <c r="N30" s="22">
        <v>6006.8</v>
      </c>
      <c r="O30" s="24">
        <f t="shared" si="7"/>
        <v>-506.8</v>
      </c>
    </row>
    <row r="31" ht="13.5" customHeight="1">
      <c r="B31" s="37" t="s">
        <v>16</v>
      </c>
      <c r="C31" s="20">
        <v>2.0</v>
      </c>
      <c r="D31" s="21">
        <v>50.0</v>
      </c>
      <c r="E31" s="21">
        <v>0.0</v>
      </c>
      <c r="F31" s="21">
        <f t="shared" si="1"/>
        <v>0</v>
      </c>
      <c r="G31" s="22">
        <v>50.0</v>
      </c>
      <c r="H31" s="20">
        <f t="shared" si="2"/>
        <v>100</v>
      </c>
      <c r="I31" s="21">
        <f t="shared" si="3"/>
        <v>0</v>
      </c>
      <c r="J31" s="23">
        <f t="shared" si="4"/>
        <v>100</v>
      </c>
      <c r="K31" s="21">
        <f t="shared" si="5"/>
        <v>0</v>
      </c>
      <c r="L31" s="21">
        <v>0.0</v>
      </c>
      <c r="M31" s="22">
        <f t="shared" si="6"/>
        <v>0</v>
      </c>
      <c r="N31" s="22">
        <v>0.0</v>
      </c>
      <c r="O31" s="24">
        <f t="shared" si="7"/>
        <v>0</v>
      </c>
    </row>
    <row r="32" ht="13.5" customHeight="1">
      <c r="B32" s="37" t="s">
        <v>39</v>
      </c>
      <c r="C32" s="20">
        <v>8.0</v>
      </c>
      <c r="D32" s="21">
        <v>50.0</v>
      </c>
      <c r="E32" s="21">
        <v>50.0</v>
      </c>
      <c r="F32" s="21">
        <f t="shared" si="1"/>
        <v>100</v>
      </c>
      <c r="G32" s="22">
        <v>200.0</v>
      </c>
      <c r="H32" s="20">
        <f t="shared" si="2"/>
        <v>400</v>
      </c>
      <c r="I32" s="21">
        <f t="shared" si="3"/>
        <v>400</v>
      </c>
      <c r="J32" s="23">
        <f t="shared" si="4"/>
        <v>1600</v>
      </c>
      <c r="K32" s="21">
        <f t="shared" si="5"/>
        <v>800</v>
      </c>
      <c r="L32" s="21">
        <v>0.0</v>
      </c>
      <c r="M32" s="22">
        <f t="shared" si="6"/>
        <v>800</v>
      </c>
      <c r="N32" s="22">
        <v>800.0</v>
      </c>
      <c r="O32" s="24">
        <f t="shared" si="7"/>
        <v>0</v>
      </c>
    </row>
    <row r="33" ht="13.5" customHeight="1">
      <c r="B33" s="37" t="s">
        <v>40</v>
      </c>
      <c r="C33" s="20">
        <v>2.0</v>
      </c>
      <c r="D33" s="21">
        <v>30.0</v>
      </c>
      <c r="E33" s="21">
        <v>0.0</v>
      </c>
      <c r="F33" s="21">
        <f t="shared" si="1"/>
        <v>0</v>
      </c>
      <c r="G33" s="22">
        <v>30.0</v>
      </c>
      <c r="H33" s="20">
        <f t="shared" si="2"/>
        <v>60</v>
      </c>
      <c r="I33" s="21">
        <f t="shared" si="3"/>
        <v>0</v>
      </c>
      <c r="J33" s="23">
        <f t="shared" si="4"/>
        <v>60</v>
      </c>
      <c r="K33" s="21">
        <f t="shared" si="5"/>
        <v>0</v>
      </c>
      <c r="L33" s="21">
        <v>0.0</v>
      </c>
      <c r="M33" s="22">
        <f t="shared" si="6"/>
        <v>0</v>
      </c>
      <c r="N33" s="22">
        <v>0.0</v>
      </c>
      <c r="O33" s="24">
        <f t="shared" si="7"/>
        <v>0</v>
      </c>
    </row>
    <row r="34" ht="13.5" customHeight="1">
      <c r="B34" s="37" t="s">
        <v>41</v>
      </c>
      <c r="C34" s="20">
        <v>9.0</v>
      </c>
      <c r="D34" s="21">
        <v>30.0</v>
      </c>
      <c r="E34" s="21">
        <v>0.0</v>
      </c>
      <c r="F34" s="21">
        <f t="shared" si="1"/>
        <v>0</v>
      </c>
      <c r="G34" s="22">
        <v>30.0</v>
      </c>
      <c r="H34" s="20">
        <f t="shared" si="2"/>
        <v>270</v>
      </c>
      <c r="I34" s="21">
        <f t="shared" si="3"/>
        <v>0</v>
      </c>
      <c r="J34" s="23">
        <f t="shared" si="4"/>
        <v>270</v>
      </c>
      <c r="K34" s="21">
        <f t="shared" si="5"/>
        <v>0</v>
      </c>
      <c r="L34" s="21">
        <v>0.0</v>
      </c>
      <c r="M34" s="22">
        <f t="shared" si="6"/>
        <v>0</v>
      </c>
      <c r="N34" s="22">
        <v>0.0</v>
      </c>
      <c r="O34" s="24">
        <f t="shared" si="7"/>
        <v>0</v>
      </c>
    </row>
    <row r="35" ht="13.5" customHeight="1">
      <c r="B35" s="37" t="s">
        <v>42</v>
      </c>
      <c r="C35" s="20">
        <v>17.0</v>
      </c>
      <c r="D35" s="21">
        <v>50.0</v>
      </c>
      <c r="E35" s="21">
        <v>50.0</v>
      </c>
      <c r="F35" s="21">
        <f t="shared" si="1"/>
        <v>250</v>
      </c>
      <c r="G35" s="22">
        <v>350.0</v>
      </c>
      <c r="H35" s="20">
        <f t="shared" si="2"/>
        <v>850</v>
      </c>
      <c r="I35" s="21">
        <f t="shared" si="3"/>
        <v>850</v>
      </c>
      <c r="J35" s="23">
        <f t="shared" si="4"/>
        <v>5950</v>
      </c>
      <c r="K35" s="21">
        <f t="shared" si="5"/>
        <v>4250</v>
      </c>
      <c r="L35" s="21">
        <f>1800*4</f>
        <v>7200</v>
      </c>
      <c r="M35" s="22">
        <f t="shared" si="6"/>
        <v>11450</v>
      </c>
      <c r="N35" s="22">
        <v>11722.0</v>
      </c>
      <c r="O35" s="24">
        <f t="shared" si="7"/>
        <v>-272</v>
      </c>
    </row>
    <row r="36" ht="13.5" customHeight="1">
      <c r="B36" s="37" t="s">
        <v>43</v>
      </c>
      <c r="C36" s="20">
        <v>9.0</v>
      </c>
      <c r="D36" s="21">
        <v>50.0</v>
      </c>
      <c r="E36" s="21">
        <v>50.0</v>
      </c>
      <c r="F36" s="21">
        <f t="shared" si="1"/>
        <v>100</v>
      </c>
      <c r="G36" s="22">
        <v>200.0</v>
      </c>
      <c r="H36" s="20">
        <f t="shared" si="2"/>
        <v>450</v>
      </c>
      <c r="I36" s="21">
        <f t="shared" si="3"/>
        <v>450</v>
      </c>
      <c r="J36" s="23">
        <f t="shared" si="4"/>
        <v>1800</v>
      </c>
      <c r="K36" s="21">
        <f t="shared" si="5"/>
        <v>900</v>
      </c>
      <c r="L36" s="21">
        <f>500*4</f>
        <v>2000</v>
      </c>
      <c r="M36" s="22">
        <f t="shared" si="6"/>
        <v>2900</v>
      </c>
      <c r="N36" s="22">
        <v>3197.26</v>
      </c>
      <c r="O36" s="24">
        <f t="shared" si="7"/>
        <v>-297.26</v>
      </c>
    </row>
    <row r="37" ht="13.5" customHeight="1">
      <c r="B37" s="39" t="s">
        <v>44</v>
      </c>
      <c r="C37" s="40">
        <v>9.0</v>
      </c>
      <c r="D37" s="41">
        <v>50.0</v>
      </c>
      <c r="E37" s="41">
        <v>50.0</v>
      </c>
      <c r="F37" s="41">
        <f t="shared" si="1"/>
        <v>150</v>
      </c>
      <c r="G37" s="42">
        <v>250.0</v>
      </c>
      <c r="H37" s="40">
        <f t="shared" si="2"/>
        <v>450</v>
      </c>
      <c r="I37" s="41">
        <f t="shared" si="3"/>
        <v>450</v>
      </c>
      <c r="J37" s="43">
        <f t="shared" si="4"/>
        <v>2250</v>
      </c>
      <c r="K37" s="41">
        <f t="shared" si="5"/>
        <v>1350</v>
      </c>
      <c r="L37" s="41">
        <f>850*4</f>
        <v>3400</v>
      </c>
      <c r="M37" s="42">
        <f t="shared" si="6"/>
        <v>4750</v>
      </c>
      <c r="N37" s="42">
        <v>5075.8</v>
      </c>
      <c r="O37" s="44">
        <f t="shared" si="7"/>
        <v>-325.8</v>
      </c>
    </row>
    <row r="38" ht="13.5" customHeight="1">
      <c r="H38" s="45">
        <f t="shared" ref="H38:O38" si="8">SUM(H4:H37)</f>
        <v>14430</v>
      </c>
      <c r="I38" s="45">
        <f t="shared" si="8"/>
        <v>11100</v>
      </c>
      <c r="J38" s="46">
        <f t="shared" si="8"/>
        <v>51580</v>
      </c>
      <c r="K38" s="45">
        <f t="shared" si="8"/>
        <v>26050</v>
      </c>
      <c r="L38" s="45">
        <f t="shared" si="8"/>
        <v>36000</v>
      </c>
      <c r="M38" s="45">
        <f t="shared" si="8"/>
        <v>62050</v>
      </c>
      <c r="N38" s="45">
        <f t="shared" si="8"/>
        <v>67190.41</v>
      </c>
      <c r="O38" s="47">
        <f t="shared" si="8"/>
        <v>-5140.41</v>
      </c>
    </row>
    <row r="39" ht="13.5" customHeight="1"/>
    <row r="40" ht="13.5" customHeight="1">
      <c r="B40" s="48" t="s">
        <v>45</v>
      </c>
      <c r="C40" s="28">
        <f>SUM(C4:C37)-C4-C13-C21-C31</f>
        <v>283</v>
      </c>
    </row>
    <row r="41" ht="13.5" customHeight="1">
      <c r="B41" s="49" t="s">
        <v>46</v>
      </c>
      <c r="C41" s="28" t="str">
        <f>SUM([1]קבלות!O4:P99)</f>
        <v>#ERROR!</v>
      </c>
      <c r="P41" s="28"/>
    </row>
    <row r="42" ht="13.5" customHeight="1">
      <c r="B42" s="50" t="s">
        <v>47</v>
      </c>
      <c r="C42" s="51" t="str">
        <f>[1]קבלות!O100</f>
        <v>#ERROR!</v>
      </c>
      <c r="P42" s="28"/>
    </row>
    <row r="43" ht="13.5" customHeight="1">
      <c r="B43" s="49" t="s">
        <v>48</v>
      </c>
      <c r="C43" s="28" t="str">
        <f>-[1]קבלות!P104</f>
        <v>#ERROR!</v>
      </c>
    </row>
    <row r="44" ht="13.5" customHeight="1">
      <c r="B44" s="52" t="s">
        <v>49</v>
      </c>
      <c r="C44" s="46" t="str">
        <f>C41+C42+C43</f>
        <v>#ERROR!</v>
      </c>
    </row>
    <row r="45" ht="13.5" customHeight="1">
      <c r="C45" s="28"/>
    </row>
    <row r="46" ht="13.5" customHeight="1">
      <c r="B46" s="52" t="s">
        <v>50</v>
      </c>
      <c r="C46" s="46">
        <f>I38</f>
        <v>11100</v>
      </c>
    </row>
    <row r="47" ht="13.5" customHeight="1">
      <c r="B47" s="52" t="s">
        <v>51</v>
      </c>
      <c r="C47" s="46">
        <f>H38</f>
        <v>14430</v>
      </c>
    </row>
    <row r="48" ht="13.5" customHeight="1">
      <c r="B48" s="52" t="s">
        <v>52</v>
      </c>
      <c r="C48" s="46">
        <f>K38</f>
        <v>26050</v>
      </c>
    </row>
    <row r="49" ht="13.5" customHeight="1">
      <c r="C49" s="28"/>
    </row>
    <row r="50" ht="13.5" customHeight="1">
      <c r="B50" s="53" t="s">
        <v>53</v>
      </c>
      <c r="C50" s="54">
        <f>SUM(L4:L20)</f>
        <v>10400</v>
      </c>
    </row>
    <row r="51" ht="13.5" customHeight="1">
      <c r="B51" s="55" t="s">
        <v>54</v>
      </c>
      <c r="C51" s="56">
        <f>SUM(L21:L37)+3405</f>
        <v>29005</v>
      </c>
    </row>
    <row r="52" ht="13.5" customHeight="1">
      <c r="A52" s="57"/>
      <c r="B52" s="49" t="s">
        <v>55</v>
      </c>
      <c r="C52" s="58">
        <f>C51+C50+C48</f>
        <v>65455</v>
      </c>
    </row>
    <row r="53" ht="13.5" customHeight="1">
      <c r="A53" s="59"/>
    </row>
    <row r="54" ht="13.5" customHeight="1">
      <c r="A54" s="60"/>
      <c r="B54" s="61" t="s">
        <v>56</v>
      </c>
      <c r="C54" s="61">
        <f>C46*70%</f>
        <v>7770</v>
      </c>
    </row>
    <row r="55" ht="13.5" customHeight="1">
      <c r="A55" s="60"/>
      <c r="C55" s="62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B1:O1"/>
    <mergeCell ref="B2:O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30.63"/>
    <col customWidth="1" min="2" max="26" width="8.63"/>
  </cols>
  <sheetData>
    <row r="1" ht="13.5" customHeight="1">
      <c r="A1" s="63" t="s">
        <v>57</v>
      </c>
    </row>
    <row r="2" ht="13.5" customHeight="1">
      <c r="A2" s="64" t="s">
        <v>58</v>
      </c>
      <c r="B2" s="65"/>
      <c r="C2" s="65"/>
      <c r="D2" s="66"/>
    </row>
    <row r="3" ht="13.5" customHeight="1">
      <c r="A3" s="67"/>
      <c r="B3" s="68" t="s">
        <v>3</v>
      </c>
      <c r="C3" s="69" t="s">
        <v>59</v>
      </c>
      <c r="D3" s="69" t="s">
        <v>7</v>
      </c>
      <c r="E3" s="69" t="s">
        <v>60</v>
      </c>
      <c r="F3" s="69" t="s">
        <v>61</v>
      </c>
      <c r="G3" s="69" t="s">
        <v>62</v>
      </c>
      <c r="H3" s="70" t="s">
        <v>63</v>
      </c>
    </row>
    <row r="4" ht="13.5" customHeight="1">
      <c r="A4" s="71" t="s">
        <v>64</v>
      </c>
      <c r="B4" s="72">
        <v>37.0</v>
      </c>
      <c r="C4" s="73">
        <v>170.0</v>
      </c>
      <c r="D4" s="74">
        <v>0.0</v>
      </c>
      <c r="E4" s="75">
        <f t="shared" ref="E4:E71" si="1">C4+D4</f>
        <v>170</v>
      </c>
      <c r="F4" s="76">
        <f t="shared" ref="F4:F71" si="2">E4*B4</f>
        <v>6290</v>
      </c>
      <c r="G4" s="73">
        <f t="shared" ref="G4:G71" si="3">C4*B4</f>
        <v>6290</v>
      </c>
      <c r="H4" s="77">
        <f t="shared" ref="H4:H71" si="4">D4*B4</f>
        <v>0</v>
      </c>
    </row>
    <row r="5" ht="13.5" customHeight="1">
      <c r="A5" s="78" t="s">
        <v>65</v>
      </c>
      <c r="B5" s="79">
        <v>46.0</v>
      </c>
      <c r="C5" s="80">
        <v>240.0</v>
      </c>
      <c r="D5" s="81">
        <v>0.0</v>
      </c>
      <c r="E5" s="82">
        <f t="shared" si="1"/>
        <v>240</v>
      </c>
      <c r="F5" s="83">
        <f t="shared" si="2"/>
        <v>11040</v>
      </c>
      <c r="G5" s="80">
        <f t="shared" si="3"/>
        <v>11040</v>
      </c>
      <c r="H5" s="84">
        <f t="shared" si="4"/>
        <v>0</v>
      </c>
    </row>
    <row r="6" ht="13.5" customHeight="1">
      <c r="A6" s="78" t="s">
        <v>66</v>
      </c>
      <c r="B6" s="79">
        <v>1.0</v>
      </c>
      <c r="C6" s="80">
        <v>170.0</v>
      </c>
      <c r="D6" s="81">
        <v>0.0</v>
      </c>
      <c r="E6" s="82">
        <f t="shared" si="1"/>
        <v>170</v>
      </c>
      <c r="F6" s="83">
        <f t="shared" si="2"/>
        <v>170</v>
      </c>
      <c r="G6" s="80">
        <f t="shared" si="3"/>
        <v>170</v>
      </c>
      <c r="H6" s="84">
        <f t="shared" si="4"/>
        <v>0</v>
      </c>
    </row>
    <row r="7" ht="13.5" customHeight="1">
      <c r="A7" s="85" t="s">
        <v>67</v>
      </c>
      <c r="B7" s="86">
        <v>2.0</v>
      </c>
      <c r="C7" s="87">
        <v>240.0</v>
      </c>
      <c r="D7" s="88">
        <v>0.0</v>
      </c>
      <c r="E7" s="89">
        <f t="shared" si="1"/>
        <v>240</v>
      </c>
      <c r="F7" s="90">
        <f t="shared" si="2"/>
        <v>480</v>
      </c>
      <c r="G7" s="91">
        <f t="shared" si="3"/>
        <v>480</v>
      </c>
      <c r="H7" s="92">
        <f t="shared" si="4"/>
        <v>0</v>
      </c>
    </row>
    <row r="8" ht="13.5" customHeight="1">
      <c r="A8" s="93" t="s">
        <v>16</v>
      </c>
      <c r="B8" s="13">
        <v>14.0</v>
      </c>
      <c r="C8" s="94">
        <v>250.0</v>
      </c>
      <c r="D8" s="17">
        <v>50.0</v>
      </c>
      <c r="E8" s="95">
        <f t="shared" si="1"/>
        <v>300</v>
      </c>
      <c r="F8" s="96">
        <f t="shared" si="2"/>
        <v>4200</v>
      </c>
      <c r="G8" s="97">
        <f t="shared" si="3"/>
        <v>3500</v>
      </c>
      <c r="H8" s="98">
        <f t="shared" si="4"/>
        <v>700</v>
      </c>
    </row>
    <row r="9" ht="13.5" customHeight="1">
      <c r="A9" s="99" t="s">
        <v>17</v>
      </c>
      <c r="B9" s="20">
        <v>4.0</v>
      </c>
      <c r="C9" s="100">
        <v>150.0</v>
      </c>
      <c r="D9" s="24">
        <v>150.0</v>
      </c>
      <c r="E9" s="95">
        <f t="shared" si="1"/>
        <v>300</v>
      </c>
      <c r="F9" s="96">
        <f t="shared" si="2"/>
        <v>1200</v>
      </c>
      <c r="G9" s="97">
        <f t="shared" si="3"/>
        <v>600</v>
      </c>
      <c r="H9" s="98">
        <f t="shared" si="4"/>
        <v>600</v>
      </c>
    </row>
    <row r="10" ht="13.5" customHeight="1">
      <c r="A10" s="101" t="s">
        <v>18</v>
      </c>
      <c r="B10" s="20">
        <v>11.0</v>
      </c>
      <c r="C10" s="100">
        <v>200.0</v>
      </c>
      <c r="D10" s="24">
        <v>200.0</v>
      </c>
      <c r="E10" s="95">
        <f t="shared" si="1"/>
        <v>400</v>
      </c>
      <c r="F10" s="96">
        <f t="shared" si="2"/>
        <v>4400</v>
      </c>
      <c r="G10" s="97">
        <f t="shared" si="3"/>
        <v>2200</v>
      </c>
      <c r="H10" s="98">
        <f t="shared" si="4"/>
        <v>2200</v>
      </c>
    </row>
    <row r="11" ht="13.5" customHeight="1">
      <c r="A11" s="101" t="s">
        <v>19</v>
      </c>
      <c r="B11" s="20">
        <v>15.0</v>
      </c>
      <c r="C11" s="100">
        <v>170.0</v>
      </c>
      <c r="D11" s="24">
        <v>30.0</v>
      </c>
      <c r="E11" s="95">
        <f t="shared" si="1"/>
        <v>200</v>
      </c>
      <c r="F11" s="96">
        <f t="shared" si="2"/>
        <v>3000</v>
      </c>
      <c r="G11" s="97">
        <f t="shared" si="3"/>
        <v>2550</v>
      </c>
      <c r="H11" s="98">
        <f t="shared" si="4"/>
        <v>450</v>
      </c>
    </row>
    <row r="12" ht="13.5" customHeight="1">
      <c r="A12" s="102" t="s">
        <v>20</v>
      </c>
      <c r="B12" s="20">
        <v>4.0</v>
      </c>
      <c r="C12" s="100">
        <v>170.0</v>
      </c>
      <c r="D12" s="24">
        <v>30.0</v>
      </c>
      <c r="E12" s="95">
        <f t="shared" si="1"/>
        <v>200</v>
      </c>
      <c r="F12" s="96">
        <f t="shared" si="2"/>
        <v>800</v>
      </c>
      <c r="G12" s="97">
        <f t="shared" si="3"/>
        <v>680</v>
      </c>
      <c r="H12" s="98">
        <f t="shared" si="4"/>
        <v>120</v>
      </c>
    </row>
    <row r="13" ht="13.5" customHeight="1">
      <c r="A13" s="103" t="s">
        <v>68</v>
      </c>
      <c r="B13" s="27">
        <v>2.0</v>
      </c>
      <c r="C13" s="100">
        <v>0.0</v>
      </c>
      <c r="D13" s="104">
        <v>80.0</v>
      </c>
      <c r="E13" s="95">
        <f t="shared" si="1"/>
        <v>80</v>
      </c>
      <c r="F13" s="105">
        <f t="shared" si="2"/>
        <v>160</v>
      </c>
      <c r="G13" s="100">
        <f t="shared" si="3"/>
        <v>0</v>
      </c>
      <c r="H13" s="104">
        <f t="shared" si="4"/>
        <v>160</v>
      </c>
    </row>
    <row r="14" ht="13.5" customHeight="1">
      <c r="A14" s="101" t="s">
        <v>21</v>
      </c>
      <c r="B14" s="20">
        <v>11.0</v>
      </c>
      <c r="C14" s="100">
        <v>200.0</v>
      </c>
      <c r="D14" s="24">
        <v>200.0</v>
      </c>
      <c r="E14" s="95">
        <f t="shared" si="1"/>
        <v>400</v>
      </c>
      <c r="F14" s="106">
        <f t="shared" si="2"/>
        <v>4400</v>
      </c>
      <c r="G14" s="100">
        <f t="shared" si="3"/>
        <v>2200</v>
      </c>
      <c r="H14" s="104">
        <f t="shared" si="4"/>
        <v>2200</v>
      </c>
    </row>
    <row r="15" ht="13.5" customHeight="1">
      <c r="A15" s="102" t="s">
        <v>69</v>
      </c>
      <c r="B15" s="20">
        <v>1.0</v>
      </c>
      <c r="C15" s="100">
        <v>0.0</v>
      </c>
      <c r="D15" s="24">
        <v>80.0</v>
      </c>
      <c r="E15" s="95">
        <f t="shared" si="1"/>
        <v>80</v>
      </c>
      <c r="F15" s="96">
        <f t="shared" si="2"/>
        <v>80</v>
      </c>
      <c r="G15" s="97">
        <f t="shared" si="3"/>
        <v>0</v>
      </c>
      <c r="H15" s="98">
        <f t="shared" si="4"/>
        <v>80</v>
      </c>
    </row>
    <row r="16" ht="13.5" customHeight="1">
      <c r="A16" s="102" t="s">
        <v>70</v>
      </c>
      <c r="B16" s="20">
        <v>7.0</v>
      </c>
      <c r="C16" s="100">
        <v>0.0</v>
      </c>
      <c r="D16" s="24">
        <v>80.0</v>
      </c>
      <c r="E16" s="95">
        <f t="shared" si="1"/>
        <v>80</v>
      </c>
      <c r="F16" s="96">
        <f t="shared" si="2"/>
        <v>560</v>
      </c>
      <c r="G16" s="97">
        <f t="shared" si="3"/>
        <v>0</v>
      </c>
      <c r="H16" s="98">
        <f t="shared" si="4"/>
        <v>560</v>
      </c>
    </row>
    <row r="17" ht="13.5" customHeight="1">
      <c r="A17" s="107" t="s">
        <v>22</v>
      </c>
      <c r="B17" s="27">
        <v>11.0</v>
      </c>
      <c r="C17" s="100">
        <v>300.0</v>
      </c>
      <c r="D17" s="24">
        <v>200.0</v>
      </c>
      <c r="E17" s="95">
        <f t="shared" si="1"/>
        <v>500</v>
      </c>
      <c r="F17" s="96">
        <f t="shared" si="2"/>
        <v>5500</v>
      </c>
      <c r="G17" s="97">
        <f t="shared" si="3"/>
        <v>3300</v>
      </c>
      <c r="H17" s="98">
        <f t="shared" si="4"/>
        <v>2200</v>
      </c>
    </row>
    <row r="18" ht="13.5" customHeight="1">
      <c r="A18" s="108" t="s">
        <v>23</v>
      </c>
      <c r="B18" s="27">
        <v>10.0</v>
      </c>
      <c r="C18" s="100">
        <v>300.0</v>
      </c>
      <c r="D18" s="104">
        <v>150.0</v>
      </c>
      <c r="E18" s="95">
        <f t="shared" si="1"/>
        <v>450</v>
      </c>
      <c r="F18" s="105">
        <f t="shared" si="2"/>
        <v>4500</v>
      </c>
      <c r="G18" s="100">
        <f t="shared" si="3"/>
        <v>3000</v>
      </c>
      <c r="H18" s="104">
        <f t="shared" si="4"/>
        <v>1500</v>
      </c>
    </row>
    <row r="19" ht="13.5" customHeight="1">
      <c r="A19" s="109" t="s">
        <v>24</v>
      </c>
      <c r="B19" s="110">
        <v>13.0</v>
      </c>
      <c r="C19" s="111">
        <v>300.0</v>
      </c>
      <c r="D19" s="44">
        <v>200.0</v>
      </c>
      <c r="E19" s="95">
        <f t="shared" si="1"/>
        <v>500</v>
      </c>
      <c r="F19" s="106">
        <f t="shared" si="2"/>
        <v>6500</v>
      </c>
      <c r="G19" s="100">
        <f t="shared" si="3"/>
        <v>3900</v>
      </c>
      <c r="H19" s="104">
        <f t="shared" si="4"/>
        <v>2600</v>
      </c>
    </row>
    <row r="20" ht="13.5" customHeight="1">
      <c r="A20" s="71" t="s">
        <v>71</v>
      </c>
      <c r="B20" s="112">
        <v>1.0</v>
      </c>
      <c r="C20" s="113">
        <v>170.0</v>
      </c>
      <c r="D20" s="114">
        <v>0.0</v>
      </c>
      <c r="E20" s="75">
        <f t="shared" si="1"/>
        <v>170</v>
      </c>
      <c r="F20" s="76">
        <f t="shared" si="2"/>
        <v>170</v>
      </c>
      <c r="G20" s="73">
        <f t="shared" si="3"/>
        <v>170</v>
      </c>
      <c r="H20" s="77">
        <f t="shared" si="4"/>
        <v>0</v>
      </c>
    </row>
    <row r="21" ht="13.5" customHeight="1">
      <c r="A21" s="78" t="s">
        <v>72</v>
      </c>
      <c r="B21" s="79">
        <v>10.0</v>
      </c>
      <c r="C21" s="80">
        <v>240.0</v>
      </c>
      <c r="D21" s="81">
        <v>0.0</v>
      </c>
      <c r="E21" s="82">
        <f t="shared" si="1"/>
        <v>240</v>
      </c>
      <c r="F21" s="83">
        <f t="shared" si="2"/>
        <v>2400</v>
      </c>
      <c r="G21" s="80">
        <f t="shared" si="3"/>
        <v>2400</v>
      </c>
      <c r="H21" s="84">
        <f t="shared" si="4"/>
        <v>0</v>
      </c>
    </row>
    <row r="22" ht="13.5" customHeight="1">
      <c r="A22" s="78" t="s">
        <v>73</v>
      </c>
      <c r="B22" s="79">
        <v>2.0</v>
      </c>
      <c r="C22" s="80">
        <v>240.0</v>
      </c>
      <c r="D22" s="81">
        <v>0.0</v>
      </c>
      <c r="E22" s="82">
        <f t="shared" si="1"/>
        <v>240</v>
      </c>
      <c r="F22" s="83">
        <f t="shared" si="2"/>
        <v>480</v>
      </c>
      <c r="G22" s="80">
        <f t="shared" si="3"/>
        <v>480</v>
      </c>
      <c r="H22" s="84">
        <f t="shared" si="4"/>
        <v>0</v>
      </c>
    </row>
    <row r="23" ht="13.5" customHeight="1">
      <c r="A23" s="85" t="s">
        <v>74</v>
      </c>
      <c r="B23" s="115">
        <v>1.0</v>
      </c>
      <c r="C23" s="91">
        <v>170.0</v>
      </c>
      <c r="D23" s="116">
        <v>0.0</v>
      </c>
      <c r="E23" s="89">
        <f t="shared" si="1"/>
        <v>170</v>
      </c>
      <c r="F23" s="90">
        <f t="shared" si="2"/>
        <v>170</v>
      </c>
      <c r="G23" s="91">
        <f t="shared" si="3"/>
        <v>170</v>
      </c>
      <c r="H23" s="92">
        <f t="shared" si="4"/>
        <v>0</v>
      </c>
    </row>
    <row r="24" ht="13.5" customHeight="1">
      <c r="A24" s="117" t="s">
        <v>16</v>
      </c>
      <c r="B24" s="106">
        <v>7.0</v>
      </c>
      <c r="C24" s="100">
        <v>250.0</v>
      </c>
      <c r="D24" s="22">
        <v>50.0</v>
      </c>
      <c r="E24" s="23">
        <f t="shared" si="1"/>
        <v>300</v>
      </c>
      <c r="F24" s="96">
        <f t="shared" si="2"/>
        <v>2100</v>
      </c>
      <c r="G24" s="97">
        <f t="shared" si="3"/>
        <v>1750</v>
      </c>
      <c r="H24" s="98">
        <f t="shared" si="4"/>
        <v>350</v>
      </c>
    </row>
    <row r="25" ht="13.5" customHeight="1">
      <c r="A25" s="118" t="s">
        <v>68</v>
      </c>
      <c r="B25" s="106">
        <v>6.0</v>
      </c>
      <c r="C25" s="100">
        <v>0.0</v>
      </c>
      <c r="D25" s="22">
        <v>80.0</v>
      </c>
      <c r="E25" s="23">
        <f t="shared" si="1"/>
        <v>80</v>
      </c>
      <c r="F25" s="106">
        <f t="shared" si="2"/>
        <v>480</v>
      </c>
      <c r="G25" s="100">
        <f t="shared" si="3"/>
        <v>0</v>
      </c>
      <c r="H25" s="104">
        <f t="shared" si="4"/>
        <v>480</v>
      </c>
    </row>
    <row r="26" ht="13.5" customHeight="1">
      <c r="A26" s="119" t="s">
        <v>75</v>
      </c>
      <c r="B26" s="106">
        <v>5.0</v>
      </c>
      <c r="C26" s="100">
        <v>0.0</v>
      </c>
      <c r="D26" s="22">
        <v>80.0</v>
      </c>
      <c r="E26" s="23">
        <f t="shared" si="1"/>
        <v>80</v>
      </c>
      <c r="F26" s="96">
        <f t="shared" si="2"/>
        <v>400</v>
      </c>
      <c r="G26" s="97">
        <f t="shared" si="3"/>
        <v>0</v>
      </c>
      <c r="H26" s="98">
        <f t="shared" si="4"/>
        <v>400</v>
      </c>
    </row>
    <row r="27" ht="13.5" customHeight="1">
      <c r="A27" s="119" t="s">
        <v>76</v>
      </c>
      <c r="B27" s="106">
        <v>4.0</v>
      </c>
      <c r="C27" s="100">
        <v>0.0</v>
      </c>
      <c r="D27" s="22">
        <v>80.0</v>
      </c>
      <c r="E27" s="23">
        <f t="shared" si="1"/>
        <v>80</v>
      </c>
      <c r="F27" s="96">
        <f t="shared" si="2"/>
        <v>320</v>
      </c>
      <c r="G27" s="97">
        <f t="shared" si="3"/>
        <v>0</v>
      </c>
      <c r="H27" s="98">
        <f t="shared" si="4"/>
        <v>320</v>
      </c>
    </row>
    <row r="28" ht="13.5" customHeight="1">
      <c r="A28" s="118" t="s">
        <v>77</v>
      </c>
      <c r="B28" s="106">
        <v>4.0</v>
      </c>
      <c r="C28" s="100">
        <v>0.0</v>
      </c>
      <c r="D28" s="22">
        <v>80.0</v>
      </c>
      <c r="E28" s="23">
        <f t="shared" si="1"/>
        <v>80</v>
      </c>
      <c r="F28" s="96">
        <f t="shared" si="2"/>
        <v>320</v>
      </c>
      <c r="G28" s="97">
        <f t="shared" si="3"/>
        <v>0</v>
      </c>
      <c r="H28" s="98">
        <f t="shared" si="4"/>
        <v>320</v>
      </c>
    </row>
    <row r="29" ht="13.5" customHeight="1">
      <c r="A29" s="120" t="s">
        <v>25</v>
      </c>
      <c r="B29" s="106">
        <v>17.0</v>
      </c>
      <c r="C29" s="100">
        <v>300.0</v>
      </c>
      <c r="D29" s="22">
        <v>200.0</v>
      </c>
      <c r="E29" s="23">
        <f t="shared" si="1"/>
        <v>500</v>
      </c>
      <c r="F29" s="96">
        <f t="shared" si="2"/>
        <v>8500</v>
      </c>
      <c r="G29" s="97">
        <f t="shared" si="3"/>
        <v>5100</v>
      </c>
      <c r="H29" s="98">
        <f t="shared" si="4"/>
        <v>3400</v>
      </c>
    </row>
    <row r="30" ht="13.5" customHeight="1">
      <c r="A30" s="120" t="s">
        <v>26</v>
      </c>
      <c r="B30" s="106">
        <v>8.0</v>
      </c>
      <c r="C30" s="100">
        <v>300.0</v>
      </c>
      <c r="D30" s="22">
        <v>150.0</v>
      </c>
      <c r="E30" s="23">
        <f t="shared" si="1"/>
        <v>450</v>
      </c>
      <c r="F30" s="96">
        <f t="shared" si="2"/>
        <v>3600</v>
      </c>
      <c r="G30" s="97">
        <f t="shared" si="3"/>
        <v>2400</v>
      </c>
      <c r="H30" s="98">
        <f t="shared" si="4"/>
        <v>1200</v>
      </c>
    </row>
    <row r="31" ht="13.5" customHeight="1">
      <c r="A31" s="120" t="s">
        <v>27</v>
      </c>
      <c r="B31" s="106">
        <v>10.0</v>
      </c>
      <c r="C31" s="100">
        <v>300.0</v>
      </c>
      <c r="D31" s="22">
        <v>150.0</v>
      </c>
      <c r="E31" s="23">
        <f t="shared" si="1"/>
        <v>450</v>
      </c>
      <c r="F31" s="96">
        <f t="shared" si="2"/>
        <v>4500</v>
      </c>
      <c r="G31" s="97">
        <f t="shared" si="3"/>
        <v>3000</v>
      </c>
      <c r="H31" s="98">
        <f t="shared" si="4"/>
        <v>1500</v>
      </c>
    </row>
    <row r="32" ht="13.5" customHeight="1">
      <c r="A32" s="120" t="s">
        <v>28</v>
      </c>
      <c r="B32" s="106">
        <v>10.0</v>
      </c>
      <c r="C32" s="100">
        <v>170.0</v>
      </c>
      <c r="D32" s="22">
        <v>30.0</v>
      </c>
      <c r="E32" s="23">
        <f t="shared" si="1"/>
        <v>200</v>
      </c>
      <c r="F32" s="96">
        <f t="shared" si="2"/>
        <v>2000</v>
      </c>
      <c r="G32" s="97">
        <f t="shared" si="3"/>
        <v>1700</v>
      </c>
      <c r="H32" s="98">
        <f t="shared" si="4"/>
        <v>300</v>
      </c>
    </row>
    <row r="33" ht="13.5" customHeight="1">
      <c r="A33" s="119" t="s">
        <v>68</v>
      </c>
      <c r="B33" s="121">
        <v>1.0</v>
      </c>
      <c r="C33" s="122">
        <v>0.0</v>
      </c>
      <c r="D33" s="123">
        <v>80.0</v>
      </c>
      <c r="E33" s="23">
        <f t="shared" si="1"/>
        <v>80</v>
      </c>
      <c r="F33" s="105">
        <f t="shared" si="2"/>
        <v>80</v>
      </c>
      <c r="G33" s="100">
        <f t="shared" si="3"/>
        <v>0</v>
      </c>
      <c r="H33" s="104">
        <f t="shared" si="4"/>
        <v>80</v>
      </c>
    </row>
    <row r="34" ht="13.5" customHeight="1">
      <c r="A34" s="120" t="s">
        <v>29</v>
      </c>
      <c r="B34" s="106">
        <v>2.0</v>
      </c>
      <c r="C34" s="100">
        <v>170.0</v>
      </c>
      <c r="D34" s="22">
        <v>30.0</v>
      </c>
      <c r="E34" s="23">
        <f t="shared" si="1"/>
        <v>200</v>
      </c>
      <c r="F34" s="96">
        <f t="shared" si="2"/>
        <v>400</v>
      </c>
      <c r="G34" s="97">
        <f t="shared" si="3"/>
        <v>340</v>
      </c>
      <c r="H34" s="98">
        <f t="shared" si="4"/>
        <v>60</v>
      </c>
    </row>
    <row r="35" ht="13.5" customHeight="1">
      <c r="A35" s="120" t="s">
        <v>30</v>
      </c>
      <c r="B35" s="106">
        <v>10.0</v>
      </c>
      <c r="C35" s="100">
        <v>200.0</v>
      </c>
      <c r="D35" s="22">
        <v>200.0</v>
      </c>
      <c r="E35" s="23">
        <f t="shared" si="1"/>
        <v>400</v>
      </c>
      <c r="F35" s="96">
        <f t="shared" si="2"/>
        <v>4000</v>
      </c>
      <c r="G35" s="97">
        <f t="shared" si="3"/>
        <v>2000</v>
      </c>
      <c r="H35" s="98">
        <f t="shared" si="4"/>
        <v>2000</v>
      </c>
    </row>
    <row r="36" ht="13.5" customHeight="1">
      <c r="A36" s="120" t="s">
        <v>31</v>
      </c>
      <c r="B36" s="106">
        <v>8.0</v>
      </c>
      <c r="C36" s="100">
        <v>200.0</v>
      </c>
      <c r="D36" s="22">
        <v>200.0</v>
      </c>
      <c r="E36" s="23">
        <f t="shared" si="1"/>
        <v>400</v>
      </c>
      <c r="F36" s="96">
        <f t="shared" si="2"/>
        <v>3200</v>
      </c>
      <c r="G36" s="97">
        <f t="shared" si="3"/>
        <v>1600</v>
      </c>
      <c r="H36" s="98">
        <f t="shared" si="4"/>
        <v>1600</v>
      </c>
    </row>
    <row r="37" ht="13.5" customHeight="1">
      <c r="A37" s="124" t="s">
        <v>78</v>
      </c>
      <c r="B37" s="76">
        <v>1.0</v>
      </c>
      <c r="C37" s="73">
        <v>170.0</v>
      </c>
      <c r="D37" s="74">
        <v>0.0</v>
      </c>
      <c r="E37" s="75">
        <f t="shared" si="1"/>
        <v>170</v>
      </c>
      <c r="F37" s="76">
        <f t="shared" si="2"/>
        <v>170</v>
      </c>
      <c r="G37" s="73">
        <f t="shared" si="3"/>
        <v>170</v>
      </c>
      <c r="H37" s="77">
        <f t="shared" si="4"/>
        <v>0</v>
      </c>
    </row>
    <row r="38" ht="13.5" customHeight="1">
      <c r="A38" s="125" t="s">
        <v>79</v>
      </c>
      <c r="B38" s="83">
        <v>25.0</v>
      </c>
      <c r="C38" s="80">
        <v>240.0</v>
      </c>
      <c r="D38" s="81">
        <v>0.0</v>
      </c>
      <c r="E38" s="82">
        <f t="shared" si="1"/>
        <v>240</v>
      </c>
      <c r="F38" s="83">
        <f t="shared" si="2"/>
        <v>6000</v>
      </c>
      <c r="G38" s="80">
        <f t="shared" si="3"/>
        <v>6000</v>
      </c>
      <c r="H38" s="84">
        <f t="shared" si="4"/>
        <v>0</v>
      </c>
    </row>
    <row r="39" ht="13.5" customHeight="1">
      <c r="A39" s="125" t="s">
        <v>80</v>
      </c>
      <c r="B39" s="83">
        <v>5.0</v>
      </c>
      <c r="C39" s="80">
        <v>240.0</v>
      </c>
      <c r="D39" s="81">
        <v>0.0</v>
      </c>
      <c r="E39" s="82">
        <f t="shared" si="1"/>
        <v>240</v>
      </c>
      <c r="F39" s="83">
        <f t="shared" si="2"/>
        <v>1200</v>
      </c>
      <c r="G39" s="80">
        <f t="shared" si="3"/>
        <v>1200</v>
      </c>
      <c r="H39" s="84">
        <f t="shared" si="4"/>
        <v>0</v>
      </c>
    </row>
    <row r="40" ht="13.5" customHeight="1">
      <c r="A40" s="126" t="s">
        <v>81</v>
      </c>
      <c r="B40" s="90">
        <v>0.0</v>
      </c>
      <c r="C40" s="91">
        <v>170.0</v>
      </c>
      <c r="D40" s="116">
        <v>0.0</v>
      </c>
      <c r="E40" s="89">
        <f t="shared" si="1"/>
        <v>170</v>
      </c>
      <c r="F40" s="90">
        <f t="shared" si="2"/>
        <v>0</v>
      </c>
      <c r="G40" s="91">
        <f t="shared" si="3"/>
        <v>0</v>
      </c>
      <c r="H40" s="92">
        <f t="shared" si="4"/>
        <v>0</v>
      </c>
    </row>
    <row r="41" ht="13.5" customHeight="1">
      <c r="A41" s="117" t="s">
        <v>16</v>
      </c>
      <c r="B41" s="106">
        <v>7.0</v>
      </c>
      <c r="C41" s="100">
        <v>250.0</v>
      </c>
      <c r="D41" s="22">
        <v>50.0</v>
      </c>
      <c r="E41" s="23">
        <f t="shared" si="1"/>
        <v>300</v>
      </c>
      <c r="F41" s="96">
        <f t="shared" si="2"/>
        <v>2100</v>
      </c>
      <c r="G41" s="97">
        <f t="shared" si="3"/>
        <v>1750</v>
      </c>
      <c r="H41" s="98">
        <f t="shared" si="4"/>
        <v>350</v>
      </c>
    </row>
    <row r="42" ht="13.5" customHeight="1">
      <c r="A42" s="120" t="s">
        <v>32</v>
      </c>
      <c r="B42" s="106">
        <v>9.0</v>
      </c>
      <c r="C42" s="100">
        <v>200.0</v>
      </c>
      <c r="D42" s="22">
        <v>200.0</v>
      </c>
      <c r="E42" s="23">
        <f t="shared" si="1"/>
        <v>400</v>
      </c>
      <c r="F42" s="106">
        <f t="shared" si="2"/>
        <v>3600</v>
      </c>
      <c r="G42" s="100">
        <f t="shared" si="3"/>
        <v>1800</v>
      </c>
      <c r="H42" s="104">
        <f t="shared" si="4"/>
        <v>1800</v>
      </c>
    </row>
    <row r="43" ht="13.5" customHeight="1">
      <c r="A43" s="117" t="s">
        <v>17</v>
      </c>
      <c r="B43" s="106">
        <v>5.0</v>
      </c>
      <c r="C43" s="100">
        <v>150.0</v>
      </c>
      <c r="D43" s="22">
        <v>150.0</v>
      </c>
      <c r="E43" s="23">
        <f t="shared" si="1"/>
        <v>300</v>
      </c>
      <c r="F43" s="96">
        <f t="shared" si="2"/>
        <v>1500</v>
      </c>
      <c r="G43" s="97">
        <f t="shared" si="3"/>
        <v>750</v>
      </c>
      <c r="H43" s="98">
        <f t="shared" si="4"/>
        <v>750</v>
      </c>
    </row>
    <row r="44" ht="13.5" customHeight="1">
      <c r="A44" s="117" t="s">
        <v>19</v>
      </c>
      <c r="B44" s="106">
        <v>15.0</v>
      </c>
      <c r="C44" s="100">
        <v>170.0</v>
      </c>
      <c r="D44" s="22">
        <v>30.0</v>
      </c>
      <c r="E44" s="23">
        <f t="shared" si="1"/>
        <v>200</v>
      </c>
      <c r="F44" s="96">
        <f t="shared" si="2"/>
        <v>3000</v>
      </c>
      <c r="G44" s="97">
        <f t="shared" si="3"/>
        <v>2550</v>
      </c>
      <c r="H44" s="98">
        <f t="shared" si="4"/>
        <v>450</v>
      </c>
    </row>
    <row r="45" ht="13.5" customHeight="1">
      <c r="A45" s="120" t="s">
        <v>33</v>
      </c>
      <c r="B45" s="106">
        <v>8.0</v>
      </c>
      <c r="C45" s="100">
        <v>200.0</v>
      </c>
      <c r="D45" s="22">
        <v>200.0</v>
      </c>
      <c r="E45" s="23">
        <f t="shared" si="1"/>
        <v>400</v>
      </c>
      <c r="F45" s="96">
        <f t="shared" si="2"/>
        <v>3200</v>
      </c>
      <c r="G45" s="97">
        <f t="shared" si="3"/>
        <v>1600</v>
      </c>
      <c r="H45" s="98">
        <f t="shared" si="4"/>
        <v>1600</v>
      </c>
    </row>
    <row r="46" ht="13.5" customHeight="1">
      <c r="A46" s="119" t="s">
        <v>68</v>
      </c>
      <c r="B46" s="121">
        <v>1.0</v>
      </c>
      <c r="C46" s="122">
        <v>0.0</v>
      </c>
      <c r="D46" s="123">
        <v>80.0</v>
      </c>
      <c r="E46" s="23">
        <f t="shared" si="1"/>
        <v>80</v>
      </c>
      <c r="F46" s="105">
        <f t="shared" si="2"/>
        <v>80</v>
      </c>
      <c r="G46" s="100">
        <f t="shared" si="3"/>
        <v>0</v>
      </c>
      <c r="H46" s="104">
        <f t="shared" si="4"/>
        <v>80</v>
      </c>
    </row>
    <row r="47" ht="13.5" customHeight="1">
      <c r="A47" s="118" t="s">
        <v>34</v>
      </c>
      <c r="B47" s="106">
        <v>4.0</v>
      </c>
      <c r="C47" s="100">
        <v>170.0</v>
      </c>
      <c r="D47" s="22">
        <v>30.0</v>
      </c>
      <c r="E47" s="23">
        <f t="shared" si="1"/>
        <v>200</v>
      </c>
      <c r="F47" s="96">
        <f t="shared" si="2"/>
        <v>800</v>
      </c>
      <c r="G47" s="97">
        <f t="shared" si="3"/>
        <v>680</v>
      </c>
      <c r="H47" s="98">
        <f t="shared" si="4"/>
        <v>120</v>
      </c>
    </row>
    <row r="48" ht="13.5" customHeight="1">
      <c r="A48" s="120" t="s">
        <v>35</v>
      </c>
      <c r="B48" s="106">
        <v>11.0</v>
      </c>
      <c r="C48" s="100">
        <v>200.0</v>
      </c>
      <c r="D48" s="22">
        <v>200.0</v>
      </c>
      <c r="E48" s="23">
        <f t="shared" si="1"/>
        <v>400</v>
      </c>
      <c r="F48" s="96">
        <f t="shared" si="2"/>
        <v>4400</v>
      </c>
      <c r="G48" s="97">
        <f t="shared" si="3"/>
        <v>2200</v>
      </c>
      <c r="H48" s="98">
        <f t="shared" si="4"/>
        <v>2200</v>
      </c>
    </row>
    <row r="49" ht="13.5" customHeight="1">
      <c r="A49" s="118" t="s">
        <v>69</v>
      </c>
      <c r="B49" s="106">
        <v>0.0</v>
      </c>
      <c r="C49" s="100">
        <v>0.0</v>
      </c>
      <c r="D49" s="22">
        <v>80.0</v>
      </c>
      <c r="E49" s="23">
        <f t="shared" si="1"/>
        <v>80</v>
      </c>
      <c r="F49" s="96">
        <f t="shared" si="2"/>
        <v>0</v>
      </c>
      <c r="G49" s="97">
        <f t="shared" si="3"/>
        <v>0</v>
      </c>
      <c r="H49" s="98">
        <f t="shared" si="4"/>
        <v>0</v>
      </c>
    </row>
    <row r="50" ht="13.5" customHeight="1">
      <c r="A50" s="118" t="s">
        <v>70</v>
      </c>
      <c r="B50" s="106">
        <v>5.0</v>
      </c>
      <c r="C50" s="100">
        <v>0.0</v>
      </c>
      <c r="D50" s="22">
        <v>80.0</v>
      </c>
      <c r="E50" s="23">
        <f t="shared" si="1"/>
        <v>80</v>
      </c>
      <c r="F50" s="96">
        <f t="shared" si="2"/>
        <v>400</v>
      </c>
      <c r="G50" s="97">
        <f t="shared" si="3"/>
        <v>0</v>
      </c>
      <c r="H50" s="98">
        <f t="shared" si="4"/>
        <v>400</v>
      </c>
    </row>
    <row r="51" ht="13.5" customHeight="1">
      <c r="A51" s="120" t="s">
        <v>36</v>
      </c>
      <c r="B51" s="106">
        <v>10.0</v>
      </c>
      <c r="C51" s="100">
        <v>400.0</v>
      </c>
      <c r="D51" s="22">
        <v>400.0</v>
      </c>
      <c r="E51" s="23">
        <f t="shared" si="1"/>
        <v>800</v>
      </c>
      <c r="F51" s="96">
        <f t="shared" si="2"/>
        <v>8000</v>
      </c>
      <c r="G51" s="97">
        <f t="shared" si="3"/>
        <v>4000</v>
      </c>
      <c r="H51" s="98">
        <f t="shared" si="4"/>
        <v>4000</v>
      </c>
    </row>
    <row r="52" ht="13.5" customHeight="1">
      <c r="A52" s="120" t="s">
        <v>37</v>
      </c>
      <c r="B52" s="106">
        <v>9.0</v>
      </c>
      <c r="C52" s="100">
        <v>300.0</v>
      </c>
      <c r="D52" s="22">
        <v>200.0</v>
      </c>
      <c r="E52" s="23">
        <f t="shared" si="1"/>
        <v>500</v>
      </c>
      <c r="F52" s="96">
        <f t="shared" si="2"/>
        <v>4500</v>
      </c>
      <c r="G52" s="97">
        <f t="shared" si="3"/>
        <v>2700</v>
      </c>
      <c r="H52" s="98">
        <f t="shared" si="4"/>
        <v>1800</v>
      </c>
    </row>
    <row r="53" ht="13.5" customHeight="1">
      <c r="A53" s="118" t="s">
        <v>38</v>
      </c>
      <c r="B53" s="106">
        <v>14.0</v>
      </c>
      <c r="C53" s="100">
        <v>350.0</v>
      </c>
      <c r="D53" s="22">
        <v>250.0</v>
      </c>
      <c r="E53" s="23">
        <f t="shared" si="1"/>
        <v>600</v>
      </c>
      <c r="F53" s="96">
        <f t="shared" si="2"/>
        <v>8400</v>
      </c>
      <c r="G53" s="97">
        <f t="shared" si="3"/>
        <v>4900</v>
      </c>
      <c r="H53" s="98">
        <f t="shared" si="4"/>
        <v>3500</v>
      </c>
    </row>
    <row r="54" ht="13.5" customHeight="1">
      <c r="A54" s="124" t="s">
        <v>82</v>
      </c>
      <c r="B54" s="76">
        <v>0.0</v>
      </c>
      <c r="C54" s="73">
        <v>170.0</v>
      </c>
      <c r="D54" s="74">
        <v>0.0</v>
      </c>
      <c r="E54" s="75">
        <f t="shared" si="1"/>
        <v>170</v>
      </c>
      <c r="F54" s="76">
        <f t="shared" si="2"/>
        <v>0</v>
      </c>
      <c r="G54" s="73">
        <f t="shared" si="3"/>
        <v>0</v>
      </c>
      <c r="H54" s="77">
        <f t="shared" si="4"/>
        <v>0</v>
      </c>
    </row>
    <row r="55" ht="13.5" customHeight="1">
      <c r="A55" s="125" t="s">
        <v>83</v>
      </c>
      <c r="B55" s="83">
        <v>0.0</v>
      </c>
      <c r="C55" s="80">
        <v>240.0</v>
      </c>
      <c r="D55" s="81">
        <v>0.0</v>
      </c>
      <c r="E55" s="82">
        <f t="shared" si="1"/>
        <v>240</v>
      </c>
      <c r="F55" s="83">
        <f t="shared" si="2"/>
        <v>0</v>
      </c>
      <c r="G55" s="80">
        <f t="shared" si="3"/>
        <v>0</v>
      </c>
      <c r="H55" s="84">
        <f t="shared" si="4"/>
        <v>0</v>
      </c>
    </row>
    <row r="56" ht="13.5" customHeight="1">
      <c r="A56" s="125" t="s">
        <v>84</v>
      </c>
      <c r="B56" s="83">
        <v>0.0</v>
      </c>
      <c r="C56" s="80">
        <v>240.0</v>
      </c>
      <c r="D56" s="81">
        <v>0.0</v>
      </c>
      <c r="E56" s="82">
        <f t="shared" si="1"/>
        <v>240</v>
      </c>
      <c r="F56" s="83">
        <f t="shared" si="2"/>
        <v>0</v>
      </c>
      <c r="G56" s="80">
        <f t="shared" si="3"/>
        <v>0</v>
      </c>
      <c r="H56" s="84">
        <f t="shared" si="4"/>
        <v>0</v>
      </c>
    </row>
    <row r="57" ht="13.5" customHeight="1">
      <c r="A57" s="126" t="s">
        <v>85</v>
      </c>
      <c r="B57" s="90">
        <v>0.0</v>
      </c>
      <c r="C57" s="91">
        <v>170.0</v>
      </c>
      <c r="D57" s="116">
        <v>0.0</v>
      </c>
      <c r="E57" s="89">
        <f t="shared" si="1"/>
        <v>170</v>
      </c>
      <c r="F57" s="90">
        <f t="shared" si="2"/>
        <v>0</v>
      </c>
      <c r="G57" s="91">
        <f t="shared" si="3"/>
        <v>0</v>
      </c>
      <c r="H57" s="92">
        <f t="shared" si="4"/>
        <v>0</v>
      </c>
    </row>
    <row r="58" ht="13.5" customHeight="1">
      <c r="A58" s="117" t="s">
        <v>16</v>
      </c>
      <c r="B58" s="121">
        <v>2.0</v>
      </c>
      <c r="C58" s="122">
        <v>250.0</v>
      </c>
      <c r="D58" s="123">
        <v>50.0</v>
      </c>
      <c r="E58" s="23">
        <f t="shared" si="1"/>
        <v>300</v>
      </c>
      <c r="F58" s="105">
        <f t="shared" si="2"/>
        <v>600</v>
      </c>
      <c r="G58" s="100">
        <f t="shared" si="3"/>
        <v>500</v>
      </c>
      <c r="H58" s="104">
        <f t="shared" si="4"/>
        <v>100</v>
      </c>
    </row>
    <row r="59" ht="13.5" customHeight="1">
      <c r="A59" s="120" t="s">
        <v>39</v>
      </c>
      <c r="B59" s="106">
        <v>8.0</v>
      </c>
      <c r="C59" s="100">
        <v>200.0</v>
      </c>
      <c r="D59" s="22">
        <v>200.0</v>
      </c>
      <c r="E59" s="23">
        <f t="shared" si="1"/>
        <v>400</v>
      </c>
      <c r="F59" s="96">
        <f t="shared" si="2"/>
        <v>3200</v>
      </c>
      <c r="G59" s="97">
        <f t="shared" si="3"/>
        <v>1600</v>
      </c>
      <c r="H59" s="98">
        <f t="shared" si="4"/>
        <v>1600</v>
      </c>
    </row>
    <row r="60" ht="13.5" customHeight="1">
      <c r="A60" s="119" t="s">
        <v>68</v>
      </c>
      <c r="B60" s="121">
        <v>0.0</v>
      </c>
      <c r="C60" s="122">
        <v>0.0</v>
      </c>
      <c r="D60" s="123">
        <v>80.0</v>
      </c>
      <c r="E60" s="23">
        <f t="shared" si="1"/>
        <v>80</v>
      </c>
      <c r="F60" s="105">
        <f t="shared" si="2"/>
        <v>0</v>
      </c>
      <c r="G60" s="100">
        <f t="shared" si="3"/>
        <v>0</v>
      </c>
      <c r="H60" s="104">
        <f t="shared" si="4"/>
        <v>0</v>
      </c>
    </row>
    <row r="61" ht="13.5" customHeight="1">
      <c r="A61" s="120" t="s">
        <v>40</v>
      </c>
      <c r="B61" s="106">
        <v>2.0</v>
      </c>
      <c r="C61" s="100">
        <v>170.0</v>
      </c>
      <c r="D61" s="22">
        <v>30.0</v>
      </c>
      <c r="E61" s="23">
        <f t="shared" si="1"/>
        <v>200</v>
      </c>
      <c r="F61" s="96">
        <f t="shared" si="2"/>
        <v>400</v>
      </c>
      <c r="G61" s="97">
        <f t="shared" si="3"/>
        <v>340</v>
      </c>
      <c r="H61" s="98">
        <f t="shared" si="4"/>
        <v>60</v>
      </c>
    </row>
    <row r="62" ht="13.5" customHeight="1">
      <c r="A62" s="119" t="s">
        <v>68</v>
      </c>
      <c r="B62" s="121">
        <v>1.0</v>
      </c>
      <c r="C62" s="122">
        <v>0.0</v>
      </c>
      <c r="D62" s="123">
        <v>80.0</v>
      </c>
      <c r="E62" s="23">
        <f t="shared" si="1"/>
        <v>80</v>
      </c>
      <c r="F62" s="105">
        <f t="shared" si="2"/>
        <v>80</v>
      </c>
      <c r="G62" s="100">
        <f t="shared" si="3"/>
        <v>0</v>
      </c>
      <c r="H62" s="104">
        <f t="shared" si="4"/>
        <v>80</v>
      </c>
    </row>
    <row r="63" ht="13.5" customHeight="1">
      <c r="A63" s="127" t="s">
        <v>75</v>
      </c>
      <c r="B63" s="121">
        <v>3.0</v>
      </c>
      <c r="C63" s="122">
        <v>0.0</v>
      </c>
      <c r="D63" s="123">
        <v>80.0</v>
      </c>
      <c r="E63" s="23">
        <f t="shared" si="1"/>
        <v>80</v>
      </c>
      <c r="F63" s="105">
        <f t="shared" si="2"/>
        <v>240</v>
      </c>
      <c r="G63" s="100">
        <f t="shared" si="3"/>
        <v>0</v>
      </c>
      <c r="H63" s="104">
        <f t="shared" si="4"/>
        <v>240</v>
      </c>
    </row>
    <row r="64" ht="13.5" customHeight="1">
      <c r="A64" s="119" t="s">
        <v>76</v>
      </c>
      <c r="B64" s="106">
        <v>3.0</v>
      </c>
      <c r="C64" s="100">
        <v>0.0</v>
      </c>
      <c r="D64" s="22">
        <v>80.0</v>
      </c>
      <c r="E64" s="23">
        <f t="shared" si="1"/>
        <v>80</v>
      </c>
      <c r="F64" s="105">
        <f t="shared" si="2"/>
        <v>240</v>
      </c>
      <c r="G64" s="100">
        <f t="shared" si="3"/>
        <v>0</v>
      </c>
      <c r="H64" s="104">
        <f t="shared" si="4"/>
        <v>240</v>
      </c>
    </row>
    <row r="65" ht="13.5" customHeight="1">
      <c r="A65" s="119" t="s">
        <v>77</v>
      </c>
      <c r="B65" s="106">
        <v>4.0</v>
      </c>
      <c r="C65" s="100">
        <v>0.0</v>
      </c>
      <c r="D65" s="22">
        <v>80.0</v>
      </c>
      <c r="E65" s="23">
        <f t="shared" si="1"/>
        <v>80</v>
      </c>
      <c r="F65" s="105">
        <f t="shared" si="2"/>
        <v>320</v>
      </c>
      <c r="G65" s="100">
        <f t="shared" si="3"/>
        <v>0</v>
      </c>
      <c r="H65" s="104">
        <f t="shared" si="4"/>
        <v>320</v>
      </c>
    </row>
    <row r="66" ht="13.5" customHeight="1">
      <c r="A66" s="120" t="s">
        <v>41</v>
      </c>
      <c r="B66" s="106">
        <v>9.0</v>
      </c>
      <c r="C66" s="100">
        <v>170.0</v>
      </c>
      <c r="D66" s="22">
        <v>30.0</v>
      </c>
      <c r="E66" s="23">
        <f t="shared" si="1"/>
        <v>200</v>
      </c>
      <c r="F66" s="105">
        <f t="shared" si="2"/>
        <v>1800</v>
      </c>
      <c r="G66" s="100">
        <f t="shared" si="3"/>
        <v>1530</v>
      </c>
      <c r="H66" s="104">
        <f t="shared" si="4"/>
        <v>270</v>
      </c>
    </row>
    <row r="67" ht="13.5" customHeight="1">
      <c r="A67" s="120" t="s">
        <v>42</v>
      </c>
      <c r="B67" s="106">
        <v>17.0</v>
      </c>
      <c r="C67" s="100">
        <v>350.0</v>
      </c>
      <c r="D67" s="22">
        <v>350.0</v>
      </c>
      <c r="E67" s="23">
        <f t="shared" si="1"/>
        <v>700</v>
      </c>
      <c r="F67" s="105">
        <f t="shared" si="2"/>
        <v>11900</v>
      </c>
      <c r="G67" s="100">
        <f t="shared" si="3"/>
        <v>5950</v>
      </c>
      <c r="H67" s="104">
        <f t="shared" si="4"/>
        <v>5950</v>
      </c>
    </row>
    <row r="68" ht="13.5" customHeight="1">
      <c r="A68" s="117" t="s">
        <v>43</v>
      </c>
      <c r="B68" s="106">
        <v>9.0</v>
      </c>
      <c r="C68" s="100">
        <v>300.0</v>
      </c>
      <c r="D68" s="22">
        <v>200.0</v>
      </c>
      <c r="E68" s="23">
        <f t="shared" si="1"/>
        <v>500</v>
      </c>
      <c r="F68" s="105">
        <f t="shared" si="2"/>
        <v>4500</v>
      </c>
      <c r="G68" s="100">
        <f t="shared" si="3"/>
        <v>2700</v>
      </c>
      <c r="H68" s="104">
        <f t="shared" si="4"/>
        <v>1800</v>
      </c>
    </row>
    <row r="69" ht="13.5" customHeight="1">
      <c r="A69" s="117" t="s">
        <v>44</v>
      </c>
      <c r="B69" s="106">
        <v>9.0</v>
      </c>
      <c r="C69" s="100">
        <v>350.0</v>
      </c>
      <c r="D69" s="22">
        <v>250.0</v>
      </c>
      <c r="E69" s="23">
        <f t="shared" si="1"/>
        <v>600</v>
      </c>
      <c r="F69" s="105">
        <f t="shared" si="2"/>
        <v>5400</v>
      </c>
      <c r="G69" s="100">
        <f t="shared" si="3"/>
        <v>3150</v>
      </c>
      <c r="H69" s="104">
        <f t="shared" si="4"/>
        <v>2250</v>
      </c>
    </row>
    <row r="70" ht="13.5" customHeight="1">
      <c r="A70" s="128" t="s">
        <v>86</v>
      </c>
      <c r="B70" s="27">
        <v>2.0</v>
      </c>
      <c r="C70" s="100">
        <v>50.0</v>
      </c>
      <c r="D70" s="100">
        <v>0.0</v>
      </c>
      <c r="E70" s="23">
        <f t="shared" si="1"/>
        <v>50</v>
      </c>
      <c r="F70" s="105">
        <f t="shared" si="2"/>
        <v>100</v>
      </c>
      <c r="G70" s="100">
        <f t="shared" si="3"/>
        <v>100</v>
      </c>
      <c r="H70" s="104">
        <f t="shared" si="4"/>
        <v>0</v>
      </c>
    </row>
    <row r="71" ht="13.5" customHeight="1">
      <c r="A71" s="129" t="s">
        <v>87</v>
      </c>
      <c r="B71" s="130">
        <v>16.0</v>
      </c>
      <c r="C71" s="131">
        <v>50.0</v>
      </c>
      <c r="D71" s="132">
        <v>0.0</v>
      </c>
      <c r="E71" s="133">
        <f t="shared" si="1"/>
        <v>50</v>
      </c>
      <c r="F71" s="130">
        <f t="shared" si="2"/>
        <v>800</v>
      </c>
      <c r="G71" s="131">
        <f t="shared" si="3"/>
        <v>800</v>
      </c>
      <c r="H71" s="134">
        <f t="shared" si="4"/>
        <v>0</v>
      </c>
    </row>
    <row r="72" ht="13.5" customHeight="1">
      <c r="A72" s="18"/>
      <c r="B72" s="135">
        <f>SUM(B4:B71)</f>
        <v>509</v>
      </c>
      <c r="C72" s="28"/>
      <c r="D72" s="28"/>
      <c r="E72" s="28"/>
      <c r="F72" s="136">
        <f t="shared" ref="F72:H72" si="5">SUM(F4:F71)</f>
        <v>163330</v>
      </c>
      <c r="G72" s="135">
        <f t="shared" si="5"/>
        <v>107990</v>
      </c>
      <c r="H72" s="137">
        <f t="shared" si="5"/>
        <v>55340</v>
      </c>
    </row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G1"/>
    <mergeCell ref="A2:D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4.5"/>
    <col customWidth="1" min="2" max="2" width="27.63"/>
    <col customWidth="1" min="3" max="6" width="10.13"/>
    <col customWidth="1" min="7" max="7" width="8.63"/>
    <col customWidth="1" min="8" max="9" width="11.13"/>
    <col customWidth="1" min="10" max="10" width="11.5"/>
    <col customWidth="1" min="11" max="11" width="11.13"/>
    <col customWidth="1" min="12" max="14" width="10.63"/>
    <col customWidth="1" min="15" max="15" width="8.13"/>
    <col customWidth="1" min="16" max="16" width="4.63"/>
    <col customWidth="1" min="17" max="17" width="8.63"/>
    <col customWidth="1" min="18" max="18" width="47.63"/>
    <col customWidth="1" min="19" max="26" width="8.63"/>
  </cols>
  <sheetData>
    <row r="1" ht="13.5" customHeight="1">
      <c r="B1" s="1" t="s">
        <v>0</v>
      </c>
    </row>
    <row r="2" ht="13.5" customHeight="1">
      <c r="B2" s="2" t="s">
        <v>88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4"/>
      <c r="R2" s="4"/>
    </row>
    <row r="3" ht="13.5" customHeight="1">
      <c r="B3" s="5" t="s">
        <v>2</v>
      </c>
      <c r="C3" s="6" t="s">
        <v>3</v>
      </c>
      <c r="D3" s="7" t="s">
        <v>4</v>
      </c>
      <c r="E3" s="7" t="s">
        <v>5</v>
      </c>
      <c r="F3" s="7" t="s">
        <v>6</v>
      </c>
      <c r="G3" s="8" t="s">
        <v>7</v>
      </c>
      <c r="H3" s="7" t="s">
        <v>8</v>
      </c>
      <c r="I3" s="7" t="s">
        <v>9</v>
      </c>
      <c r="J3" s="9" t="s">
        <v>10</v>
      </c>
      <c r="K3" s="7" t="s">
        <v>11</v>
      </c>
      <c r="L3" s="10" t="s">
        <v>12</v>
      </c>
      <c r="M3" s="10" t="s">
        <v>13</v>
      </c>
      <c r="N3" s="10" t="s">
        <v>14</v>
      </c>
      <c r="O3" s="11" t="s">
        <v>15</v>
      </c>
    </row>
    <row r="4" ht="13.5" customHeight="1">
      <c r="B4" s="12" t="s">
        <v>16</v>
      </c>
      <c r="C4" s="13">
        <v>14.0</v>
      </c>
      <c r="D4" s="14">
        <v>50.0</v>
      </c>
      <c r="E4" s="14">
        <v>0.0</v>
      </c>
      <c r="F4" s="14">
        <f t="shared" ref="F4:F38" si="1">G4-E4-D4</f>
        <v>50</v>
      </c>
      <c r="G4" s="15">
        <v>100.0</v>
      </c>
      <c r="H4" s="13">
        <f t="shared" ref="H4:H38" si="2">D4*C4</f>
        <v>700</v>
      </c>
      <c r="I4" s="14">
        <f t="shared" ref="I4:I38" si="3">C4*E4</f>
        <v>0</v>
      </c>
      <c r="J4" s="16">
        <f t="shared" ref="J4:J38" si="4">C4*G4</f>
        <v>1400</v>
      </c>
      <c r="K4" s="14">
        <f t="shared" ref="K4:K38" si="5">F4*C4</f>
        <v>700</v>
      </c>
      <c r="L4" s="15">
        <v>0.0</v>
      </c>
      <c r="M4" s="15">
        <f t="shared" ref="M4:M38" si="6">L4+K4</f>
        <v>700</v>
      </c>
      <c r="N4" s="15">
        <v>0.0</v>
      </c>
      <c r="O4" s="17">
        <f t="shared" ref="O4:O38" si="7">M4-N4</f>
        <v>700</v>
      </c>
      <c r="P4" s="18"/>
    </row>
    <row r="5" ht="13.5" customHeight="1">
      <c r="B5" s="19" t="s">
        <v>17</v>
      </c>
      <c r="C5" s="20">
        <v>10.0</v>
      </c>
      <c r="D5" s="21">
        <v>50.0</v>
      </c>
      <c r="E5" s="21">
        <v>50.0</v>
      </c>
      <c r="F5" s="21">
        <f t="shared" si="1"/>
        <v>50</v>
      </c>
      <c r="G5" s="22">
        <v>150.0</v>
      </c>
      <c r="H5" s="20">
        <f t="shared" si="2"/>
        <v>500</v>
      </c>
      <c r="I5" s="21">
        <f t="shared" si="3"/>
        <v>500</v>
      </c>
      <c r="J5" s="23">
        <f t="shared" si="4"/>
        <v>1500</v>
      </c>
      <c r="K5" s="21">
        <f t="shared" si="5"/>
        <v>500</v>
      </c>
      <c r="L5" s="22">
        <v>0.0</v>
      </c>
      <c r="M5" s="22">
        <f t="shared" si="6"/>
        <v>500</v>
      </c>
      <c r="N5" s="22">
        <v>500.0</v>
      </c>
      <c r="O5" s="24">
        <f t="shared" si="7"/>
        <v>0</v>
      </c>
      <c r="P5" s="18"/>
    </row>
    <row r="6" ht="13.5" customHeight="1">
      <c r="B6" s="25" t="s">
        <v>18</v>
      </c>
      <c r="C6" s="20">
        <v>12.0</v>
      </c>
      <c r="D6" s="21">
        <v>50.0</v>
      </c>
      <c r="E6" s="21">
        <v>50.0</v>
      </c>
      <c r="F6" s="21">
        <f t="shared" si="1"/>
        <v>100</v>
      </c>
      <c r="G6" s="22">
        <v>200.0</v>
      </c>
      <c r="H6" s="20">
        <f t="shared" si="2"/>
        <v>600</v>
      </c>
      <c r="I6" s="21">
        <f t="shared" si="3"/>
        <v>600</v>
      </c>
      <c r="J6" s="23">
        <f t="shared" si="4"/>
        <v>2400</v>
      </c>
      <c r="K6" s="21">
        <f t="shared" si="5"/>
        <v>1200</v>
      </c>
      <c r="L6" s="22">
        <v>0.0</v>
      </c>
      <c r="M6" s="22">
        <f t="shared" si="6"/>
        <v>1200</v>
      </c>
      <c r="N6" s="22">
        <v>1200.0</v>
      </c>
      <c r="O6" s="24">
        <f t="shared" si="7"/>
        <v>0</v>
      </c>
      <c r="P6" s="18"/>
    </row>
    <row r="7" ht="13.5" customHeight="1">
      <c r="B7" s="19" t="s">
        <v>19</v>
      </c>
      <c r="C7" s="20">
        <v>19.0</v>
      </c>
      <c r="D7" s="21">
        <v>30.0</v>
      </c>
      <c r="E7" s="21">
        <v>0.0</v>
      </c>
      <c r="F7" s="21">
        <f t="shared" si="1"/>
        <v>0</v>
      </c>
      <c r="G7" s="22">
        <v>30.0</v>
      </c>
      <c r="H7" s="20">
        <f t="shared" si="2"/>
        <v>570</v>
      </c>
      <c r="I7" s="21">
        <f t="shared" si="3"/>
        <v>0</v>
      </c>
      <c r="J7" s="23">
        <f t="shared" si="4"/>
        <v>570</v>
      </c>
      <c r="K7" s="21">
        <f t="shared" si="5"/>
        <v>0</v>
      </c>
      <c r="L7" s="22">
        <v>0.0</v>
      </c>
      <c r="M7" s="22">
        <f t="shared" si="6"/>
        <v>0</v>
      </c>
      <c r="N7" s="22">
        <v>0.0</v>
      </c>
      <c r="O7" s="24">
        <f t="shared" si="7"/>
        <v>0</v>
      </c>
      <c r="P7" s="18"/>
    </row>
    <row r="8" ht="13.5" customHeight="1">
      <c r="B8" s="26" t="s">
        <v>20</v>
      </c>
      <c r="C8" s="20">
        <v>4.0</v>
      </c>
      <c r="D8" s="21">
        <v>30.0</v>
      </c>
      <c r="E8" s="21">
        <v>0.0</v>
      </c>
      <c r="F8" s="21">
        <f t="shared" si="1"/>
        <v>0</v>
      </c>
      <c r="G8" s="22">
        <v>30.0</v>
      </c>
      <c r="H8" s="20">
        <f t="shared" si="2"/>
        <v>120</v>
      </c>
      <c r="I8" s="21">
        <f t="shared" si="3"/>
        <v>0</v>
      </c>
      <c r="J8" s="23">
        <f t="shared" si="4"/>
        <v>120</v>
      </c>
      <c r="K8" s="21">
        <f t="shared" si="5"/>
        <v>0</v>
      </c>
      <c r="L8" s="22">
        <v>0.0</v>
      </c>
      <c r="M8" s="22">
        <f t="shared" si="6"/>
        <v>0</v>
      </c>
      <c r="N8" s="22">
        <v>0.0</v>
      </c>
      <c r="O8" s="24">
        <f t="shared" si="7"/>
        <v>0</v>
      </c>
      <c r="P8" s="18"/>
    </row>
    <row r="9" ht="13.5" customHeight="1">
      <c r="B9" s="19" t="s">
        <v>21</v>
      </c>
      <c r="C9" s="20">
        <v>12.0</v>
      </c>
      <c r="D9" s="21">
        <v>50.0</v>
      </c>
      <c r="E9" s="21">
        <v>50.0</v>
      </c>
      <c r="F9" s="21">
        <f t="shared" si="1"/>
        <v>100</v>
      </c>
      <c r="G9" s="22">
        <v>200.0</v>
      </c>
      <c r="H9" s="20">
        <f t="shared" si="2"/>
        <v>600</v>
      </c>
      <c r="I9" s="21">
        <f t="shared" si="3"/>
        <v>600</v>
      </c>
      <c r="J9" s="23">
        <f t="shared" si="4"/>
        <v>2400</v>
      </c>
      <c r="K9" s="21">
        <f t="shared" si="5"/>
        <v>1200</v>
      </c>
      <c r="L9" s="22">
        <v>0.0</v>
      </c>
      <c r="M9" s="22">
        <f t="shared" si="6"/>
        <v>1200</v>
      </c>
      <c r="N9" s="22">
        <v>1200.0</v>
      </c>
      <c r="O9" s="24">
        <f t="shared" si="7"/>
        <v>0</v>
      </c>
    </row>
    <row r="10" ht="13.5" customHeight="1">
      <c r="B10" s="19" t="s">
        <v>22</v>
      </c>
      <c r="C10" s="27">
        <v>6.0</v>
      </c>
      <c r="D10" s="21">
        <v>50.0</v>
      </c>
      <c r="E10" s="21">
        <v>50.0</v>
      </c>
      <c r="F10" s="21">
        <f t="shared" si="1"/>
        <v>200</v>
      </c>
      <c r="G10" s="22">
        <v>300.0</v>
      </c>
      <c r="H10" s="20">
        <f t="shared" si="2"/>
        <v>300</v>
      </c>
      <c r="I10" s="21">
        <f t="shared" si="3"/>
        <v>300</v>
      </c>
      <c r="J10" s="23">
        <f t="shared" si="4"/>
        <v>1800</v>
      </c>
      <c r="K10" s="21">
        <f t="shared" si="5"/>
        <v>1200</v>
      </c>
      <c r="L10" s="22">
        <v>2400.0</v>
      </c>
      <c r="M10" s="22">
        <f t="shared" si="6"/>
        <v>3600</v>
      </c>
      <c r="N10" s="22">
        <v>3198.0</v>
      </c>
      <c r="O10" s="24">
        <f t="shared" si="7"/>
        <v>402</v>
      </c>
      <c r="Q10" s="28"/>
    </row>
    <row r="11" ht="13.5" customHeight="1">
      <c r="B11" s="19" t="s">
        <v>23</v>
      </c>
      <c r="C11" s="20">
        <v>9.0</v>
      </c>
      <c r="D11" s="21">
        <v>50.0</v>
      </c>
      <c r="E11" s="21">
        <v>50.0</v>
      </c>
      <c r="F11" s="21">
        <f t="shared" si="1"/>
        <v>150</v>
      </c>
      <c r="G11" s="22">
        <v>250.0</v>
      </c>
      <c r="H11" s="20">
        <f t="shared" si="2"/>
        <v>450</v>
      </c>
      <c r="I11" s="21">
        <f t="shared" si="3"/>
        <v>450</v>
      </c>
      <c r="J11" s="23">
        <f t="shared" si="4"/>
        <v>2250</v>
      </c>
      <c r="K11" s="21">
        <f t="shared" si="5"/>
        <v>1350</v>
      </c>
      <c r="L11" s="22">
        <v>1200.0</v>
      </c>
      <c r="M11" s="22">
        <f t="shared" si="6"/>
        <v>2550</v>
      </c>
      <c r="N11" s="22">
        <v>1918.19</v>
      </c>
      <c r="O11" s="24">
        <f t="shared" si="7"/>
        <v>631.81</v>
      </c>
      <c r="Q11" s="28"/>
    </row>
    <row r="12" ht="13.5" customHeight="1">
      <c r="B12" s="29" t="s">
        <v>24</v>
      </c>
      <c r="C12" s="20">
        <v>9.0</v>
      </c>
      <c r="D12" s="21">
        <v>50.0</v>
      </c>
      <c r="E12" s="21">
        <v>50.0</v>
      </c>
      <c r="F12" s="21">
        <f t="shared" si="1"/>
        <v>200</v>
      </c>
      <c r="G12" s="22">
        <v>300.0</v>
      </c>
      <c r="H12" s="20">
        <f t="shared" si="2"/>
        <v>450</v>
      </c>
      <c r="I12" s="21">
        <f t="shared" si="3"/>
        <v>450</v>
      </c>
      <c r="J12" s="23">
        <f t="shared" si="4"/>
        <v>2700</v>
      </c>
      <c r="K12" s="21">
        <f t="shared" si="5"/>
        <v>1800</v>
      </c>
      <c r="L12" s="22">
        <v>2000.0</v>
      </c>
      <c r="M12" s="22">
        <f t="shared" si="6"/>
        <v>3800</v>
      </c>
      <c r="N12" s="22">
        <v>3197.01</v>
      </c>
      <c r="O12" s="24">
        <f t="shared" si="7"/>
        <v>602.99</v>
      </c>
    </row>
    <row r="13" ht="13.5" customHeight="1">
      <c r="B13" s="19" t="s">
        <v>16</v>
      </c>
      <c r="C13" s="20">
        <v>5.0</v>
      </c>
      <c r="D13" s="21">
        <v>50.0</v>
      </c>
      <c r="E13" s="21">
        <v>0.0</v>
      </c>
      <c r="F13" s="21">
        <f t="shared" si="1"/>
        <v>50</v>
      </c>
      <c r="G13" s="22">
        <v>100.0</v>
      </c>
      <c r="H13" s="20">
        <f t="shared" si="2"/>
        <v>250</v>
      </c>
      <c r="I13" s="21">
        <f t="shared" si="3"/>
        <v>0</v>
      </c>
      <c r="J13" s="23">
        <f t="shared" si="4"/>
        <v>500</v>
      </c>
      <c r="K13" s="21">
        <f t="shared" si="5"/>
        <v>250</v>
      </c>
      <c r="L13" s="22">
        <v>0.0</v>
      </c>
      <c r="M13" s="22">
        <f t="shared" si="6"/>
        <v>250</v>
      </c>
      <c r="N13" s="22">
        <v>0.0</v>
      </c>
      <c r="O13" s="24">
        <f t="shared" si="7"/>
        <v>250</v>
      </c>
    </row>
    <row r="14" ht="13.5" customHeight="1">
      <c r="B14" s="19" t="s">
        <v>30</v>
      </c>
      <c r="C14" s="20">
        <v>11.0</v>
      </c>
      <c r="D14" s="21">
        <v>50.0</v>
      </c>
      <c r="E14" s="21">
        <v>50.0</v>
      </c>
      <c r="F14" s="21">
        <f t="shared" si="1"/>
        <v>100</v>
      </c>
      <c r="G14" s="22">
        <v>200.0</v>
      </c>
      <c r="H14" s="20">
        <f t="shared" si="2"/>
        <v>550</v>
      </c>
      <c r="I14" s="21">
        <f t="shared" si="3"/>
        <v>550</v>
      </c>
      <c r="J14" s="23">
        <f t="shared" si="4"/>
        <v>2200</v>
      </c>
      <c r="K14" s="21">
        <f t="shared" si="5"/>
        <v>1100</v>
      </c>
      <c r="L14" s="22">
        <v>0.0</v>
      </c>
      <c r="M14" s="22">
        <f t="shared" si="6"/>
        <v>1100</v>
      </c>
      <c r="N14" s="22">
        <v>1100.0</v>
      </c>
      <c r="O14" s="24">
        <f t="shared" si="7"/>
        <v>0</v>
      </c>
    </row>
    <row r="15" ht="13.5" customHeight="1">
      <c r="B15" s="30" t="s">
        <v>31</v>
      </c>
      <c r="C15" s="31">
        <v>8.0</v>
      </c>
      <c r="D15" s="32">
        <v>50.0</v>
      </c>
      <c r="E15" s="32">
        <v>50.0</v>
      </c>
      <c r="F15" s="32">
        <f t="shared" si="1"/>
        <v>100</v>
      </c>
      <c r="G15" s="33">
        <v>200.0</v>
      </c>
      <c r="H15" s="31">
        <f t="shared" si="2"/>
        <v>400</v>
      </c>
      <c r="I15" s="32">
        <f t="shared" si="3"/>
        <v>400</v>
      </c>
      <c r="J15" s="34">
        <f t="shared" si="4"/>
        <v>1600</v>
      </c>
      <c r="K15" s="32">
        <f t="shared" si="5"/>
        <v>800</v>
      </c>
      <c r="L15" s="33">
        <v>0.0</v>
      </c>
      <c r="M15" s="33">
        <f t="shared" si="6"/>
        <v>800</v>
      </c>
      <c r="N15" s="33">
        <v>800.0</v>
      </c>
      <c r="O15" s="35">
        <f t="shared" si="7"/>
        <v>0</v>
      </c>
    </row>
    <row r="16" ht="13.5" customHeight="1">
      <c r="B16" s="19" t="s">
        <v>25</v>
      </c>
      <c r="C16" s="20">
        <v>14.0</v>
      </c>
      <c r="D16" s="21">
        <v>50.0</v>
      </c>
      <c r="E16" s="21">
        <v>50.0</v>
      </c>
      <c r="F16" s="21">
        <f t="shared" si="1"/>
        <v>200</v>
      </c>
      <c r="G16" s="22">
        <v>300.0</v>
      </c>
      <c r="H16" s="20">
        <f t="shared" si="2"/>
        <v>700</v>
      </c>
      <c r="I16" s="21">
        <f t="shared" si="3"/>
        <v>700</v>
      </c>
      <c r="J16" s="23">
        <f t="shared" si="4"/>
        <v>4200</v>
      </c>
      <c r="K16" s="21">
        <f t="shared" si="5"/>
        <v>2800</v>
      </c>
      <c r="L16" s="22">
        <v>2000.0</v>
      </c>
      <c r="M16" s="22">
        <f t="shared" si="6"/>
        <v>4800</v>
      </c>
      <c r="N16" s="22">
        <v>3861.97</v>
      </c>
      <c r="O16" s="24">
        <f t="shared" si="7"/>
        <v>938.03</v>
      </c>
    </row>
    <row r="17" ht="13.5" customHeight="1">
      <c r="B17" s="19" t="s">
        <v>26</v>
      </c>
      <c r="C17" s="20">
        <v>16.0</v>
      </c>
      <c r="D17" s="21">
        <v>50.0</v>
      </c>
      <c r="E17" s="21">
        <v>50.0</v>
      </c>
      <c r="F17" s="21">
        <f t="shared" si="1"/>
        <v>150</v>
      </c>
      <c r="G17" s="22">
        <v>250.0</v>
      </c>
      <c r="H17" s="20">
        <f t="shared" si="2"/>
        <v>800</v>
      </c>
      <c r="I17" s="21">
        <f t="shared" si="3"/>
        <v>800</v>
      </c>
      <c r="J17" s="23">
        <f t="shared" si="4"/>
        <v>4000</v>
      </c>
      <c r="K17" s="21">
        <f t="shared" si="5"/>
        <v>2400</v>
      </c>
      <c r="L17" s="22">
        <v>1200.0</v>
      </c>
      <c r="M17" s="22">
        <f t="shared" si="6"/>
        <v>3600</v>
      </c>
      <c r="N17" s="22">
        <v>2476.81</v>
      </c>
      <c r="O17" s="24">
        <f t="shared" si="7"/>
        <v>1123.19</v>
      </c>
    </row>
    <row r="18" ht="13.5" customHeight="1">
      <c r="B18" s="19" t="s">
        <v>27</v>
      </c>
      <c r="C18" s="20">
        <v>8.0</v>
      </c>
      <c r="D18" s="21">
        <v>50.0</v>
      </c>
      <c r="E18" s="21">
        <v>50.0</v>
      </c>
      <c r="F18" s="21">
        <f t="shared" si="1"/>
        <v>150</v>
      </c>
      <c r="G18" s="22">
        <v>250.0</v>
      </c>
      <c r="H18" s="20">
        <f t="shared" si="2"/>
        <v>400</v>
      </c>
      <c r="I18" s="21">
        <f t="shared" si="3"/>
        <v>400</v>
      </c>
      <c r="J18" s="23">
        <f t="shared" si="4"/>
        <v>2000</v>
      </c>
      <c r="K18" s="21">
        <f t="shared" si="5"/>
        <v>1200</v>
      </c>
      <c r="L18" s="22">
        <v>1600.0</v>
      </c>
      <c r="M18" s="22">
        <f t="shared" si="6"/>
        <v>2800</v>
      </c>
      <c r="N18" s="22">
        <v>2457.24</v>
      </c>
      <c r="O18" s="24">
        <f t="shared" si="7"/>
        <v>342.76</v>
      </c>
    </row>
    <row r="19" ht="13.5" customHeight="1">
      <c r="B19" s="19" t="s">
        <v>28</v>
      </c>
      <c r="C19" s="20">
        <v>11.0</v>
      </c>
      <c r="D19" s="21">
        <v>30.0</v>
      </c>
      <c r="E19" s="21">
        <v>0.0</v>
      </c>
      <c r="F19" s="21">
        <f t="shared" si="1"/>
        <v>0</v>
      </c>
      <c r="G19" s="22">
        <v>30.0</v>
      </c>
      <c r="H19" s="20">
        <f t="shared" si="2"/>
        <v>330</v>
      </c>
      <c r="I19" s="21">
        <f t="shared" si="3"/>
        <v>0</v>
      </c>
      <c r="J19" s="23">
        <f t="shared" si="4"/>
        <v>330</v>
      </c>
      <c r="K19" s="21">
        <f t="shared" si="5"/>
        <v>0</v>
      </c>
      <c r="L19" s="22">
        <v>0.0</v>
      </c>
      <c r="M19" s="22">
        <f t="shared" si="6"/>
        <v>0</v>
      </c>
      <c r="N19" s="22">
        <v>0.0</v>
      </c>
      <c r="O19" s="24">
        <f t="shared" si="7"/>
        <v>0</v>
      </c>
    </row>
    <row r="20" ht="13.5" customHeight="1">
      <c r="B20" s="19" t="s">
        <v>29</v>
      </c>
      <c r="C20" s="20">
        <v>3.0</v>
      </c>
      <c r="D20" s="21">
        <v>30.0</v>
      </c>
      <c r="E20" s="21">
        <v>0.0</v>
      </c>
      <c r="F20" s="21">
        <f t="shared" si="1"/>
        <v>0</v>
      </c>
      <c r="G20" s="22">
        <v>30.0</v>
      </c>
      <c r="H20" s="20">
        <f t="shared" si="2"/>
        <v>90</v>
      </c>
      <c r="I20" s="21">
        <f t="shared" si="3"/>
        <v>0</v>
      </c>
      <c r="J20" s="23">
        <f t="shared" si="4"/>
        <v>90</v>
      </c>
      <c r="K20" s="21">
        <f t="shared" si="5"/>
        <v>0</v>
      </c>
      <c r="L20" s="22">
        <v>0.0</v>
      </c>
      <c r="M20" s="22">
        <f t="shared" si="6"/>
        <v>0</v>
      </c>
      <c r="N20" s="22">
        <v>0.0</v>
      </c>
      <c r="O20" s="24">
        <f t="shared" si="7"/>
        <v>0</v>
      </c>
    </row>
    <row r="21" ht="13.5" customHeight="1">
      <c r="B21" s="36" t="s">
        <v>16</v>
      </c>
      <c r="C21" s="13">
        <v>8.0</v>
      </c>
      <c r="D21" s="14">
        <v>50.0</v>
      </c>
      <c r="E21" s="14">
        <v>0.0</v>
      </c>
      <c r="F21" s="14">
        <f t="shared" si="1"/>
        <v>50</v>
      </c>
      <c r="G21" s="15">
        <v>100.0</v>
      </c>
      <c r="H21" s="13">
        <f t="shared" si="2"/>
        <v>400</v>
      </c>
      <c r="I21" s="14">
        <f t="shared" si="3"/>
        <v>0</v>
      </c>
      <c r="J21" s="16">
        <f t="shared" si="4"/>
        <v>800</v>
      </c>
      <c r="K21" s="14">
        <f t="shared" si="5"/>
        <v>400</v>
      </c>
      <c r="L21" s="14"/>
      <c r="M21" s="15">
        <f t="shared" si="6"/>
        <v>400</v>
      </c>
      <c r="N21" s="15">
        <v>0.0</v>
      </c>
      <c r="O21" s="17">
        <f t="shared" si="7"/>
        <v>400</v>
      </c>
    </row>
    <row r="22" ht="13.5" customHeight="1">
      <c r="B22" s="37" t="s">
        <v>32</v>
      </c>
      <c r="C22" s="20">
        <v>10.0</v>
      </c>
      <c r="D22" s="21">
        <v>50.0</v>
      </c>
      <c r="E22" s="21">
        <v>50.0</v>
      </c>
      <c r="F22" s="21">
        <f t="shared" si="1"/>
        <v>100</v>
      </c>
      <c r="G22" s="22">
        <v>200.0</v>
      </c>
      <c r="H22" s="20">
        <f t="shared" si="2"/>
        <v>500</v>
      </c>
      <c r="I22" s="21">
        <f t="shared" si="3"/>
        <v>500</v>
      </c>
      <c r="J22" s="23">
        <f t="shared" si="4"/>
        <v>2000</v>
      </c>
      <c r="K22" s="21">
        <f t="shared" si="5"/>
        <v>1000</v>
      </c>
      <c r="L22" s="21"/>
      <c r="M22" s="22">
        <f t="shared" si="6"/>
        <v>1000</v>
      </c>
      <c r="N22" s="22">
        <v>1000.0</v>
      </c>
      <c r="O22" s="24">
        <f t="shared" si="7"/>
        <v>0</v>
      </c>
    </row>
    <row r="23" ht="13.5" customHeight="1">
      <c r="B23" s="37" t="s">
        <v>17</v>
      </c>
      <c r="C23" s="20">
        <v>3.0</v>
      </c>
      <c r="D23" s="21">
        <v>50.0</v>
      </c>
      <c r="E23" s="21">
        <v>50.0</v>
      </c>
      <c r="F23" s="21">
        <f t="shared" si="1"/>
        <v>50</v>
      </c>
      <c r="G23" s="22">
        <v>150.0</v>
      </c>
      <c r="H23" s="20">
        <f t="shared" si="2"/>
        <v>150</v>
      </c>
      <c r="I23" s="21">
        <f t="shared" si="3"/>
        <v>150</v>
      </c>
      <c r="J23" s="23">
        <f t="shared" si="4"/>
        <v>450</v>
      </c>
      <c r="K23" s="21">
        <f t="shared" si="5"/>
        <v>150</v>
      </c>
      <c r="L23" s="21"/>
      <c r="M23" s="22">
        <f t="shared" si="6"/>
        <v>150</v>
      </c>
      <c r="N23" s="22">
        <v>150.0</v>
      </c>
      <c r="O23" s="24">
        <f t="shared" si="7"/>
        <v>0</v>
      </c>
    </row>
    <row r="24" ht="13.5" customHeight="1">
      <c r="B24" s="37" t="s">
        <v>19</v>
      </c>
      <c r="C24" s="20">
        <v>18.0</v>
      </c>
      <c r="D24" s="21">
        <v>30.0</v>
      </c>
      <c r="E24" s="21">
        <v>0.0</v>
      </c>
      <c r="F24" s="21">
        <f t="shared" si="1"/>
        <v>0</v>
      </c>
      <c r="G24" s="22">
        <v>30.0</v>
      </c>
      <c r="H24" s="20">
        <f t="shared" si="2"/>
        <v>540</v>
      </c>
      <c r="I24" s="21">
        <f t="shared" si="3"/>
        <v>0</v>
      </c>
      <c r="J24" s="23">
        <f t="shared" si="4"/>
        <v>540</v>
      </c>
      <c r="K24" s="21">
        <f t="shared" si="5"/>
        <v>0</v>
      </c>
      <c r="L24" s="21"/>
      <c r="M24" s="22">
        <f t="shared" si="6"/>
        <v>0</v>
      </c>
      <c r="N24" s="22">
        <v>0.0</v>
      </c>
      <c r="O24" s="24">
        <f t="shared" si="7"/>
        <v>0</v>
      </c>
    </row>
    <row r="25" ht="13.5" customHeight="1">
      <c r="B25" s="37" t="s">
        <v>33</v>
      </c>
      <c r="C25" s="20">
        <v>10.0</v>
      </c>
      <c r="D25" s="21">
        <v>50.0</v>
      </c>
      <c r="E25" s="21">
        <v>50.0</v>
      </c>
      <c r="F25" s="21">
        <f t="shared" si="1"/>
        <v>100</v>
      </c>
      <c r="G25" s="22">
        <v>200.0</v>
      </c>
      <c r="H25" s="20">
        <f t="shared" si="2"/>
        <v>500</v>
      </c>
      <c r="I25" s="21">
        <f t="shared" si="3"/>
        <v>500</v>
      </c>
      <c r="J25" s="23">
        <f t="shared" si="4"/>
        <v>2000</v>
      </c>
      <c r="K25" s="21">
        <f t="shared" si="5"/>
        <v>1000</v>
      </c>
      <c r="L25" s="21"/>
      <c r="M25" s="22">
        <f t="shared" si="6"/>
        <v>1000</v>
      </c>
      <c r="N25" s="22">
        <v>1000.0</v>
      </c>
      <c r="O25" s="24">
        <f t="shared" si="7"/>
        <v>0</v>
      </c>
    </row>
    <row r="26" ht="13.5" customHeight="1">
      <c r="B26" s="37" t="s">
        <v>16</v>
      </c>
      <c r="C26" s="20">
        <v>9.0</v>
      </c>
      <c r="D26" s="21">
        <v>50.0</v>
      </c>
      <c r="E26" s="21">
        <v>0.0</v>
      </c>
      <c r="F26" s="21">
        <f t="shared" si="1"/>
        <v>50</v>
      </c>
      <c r="G26" s="22">
        <v>100.0</v>
      </c>
      <c r="H26" s="20">
        <f t="shared" si="2"/>
        <v>450</v>
      </c>
      <c r="I26" s="21">
        <f t="shared" si="3"/>
        <v>0</v>
      </c>
      <c r="J26" s="23">
        <f t="shared" si="4"/>
        <v>900</v>
      </c>
      <c r="K26" s="21">
        <f t="shared" si="5"/>
        <v>450</v>
      </c>
      <c r="L26" s="22"/>
      <c r="M26" s="22">
        <f t="shared" si="6"/>
        <v>450</v>
      </c>
      <c r="N26" s="22">
        <v>0.0</v>
      </c>
      <c r="O26" s="24">
        <f t="shared" si="7"/>
        <v>450</v>
      </c>
    </row>
    <row r="27" ht="13.5" customHeight="1">
      <c r="B27" s="38" t="s">
        <v>34</v>
      </c>
      <c r="C27" s="20">
        <v>5.0</v>
      </c>
      <c r="D27" s="21">
        <v>30.0</v>
      </c>
      <c r="E27" s="21">
        <v>0.0</v>
      </c>
      <c r="F27" s="21">
        <f t="shared" si="1"/>
        <v>0</v>
      </c>
      <c r="G27" s="22">
        <v>30.0</v>
      </c>
      <c r="H27" s="20">
        <f t="shared" si="2"/>
        <v>150</v>
      </c>
      <c r="I27" s="21">
        <f t="shared" si="3"/>
        <v>0</v>
      </c>
      <c r="J27" s="23">
        <f t="shared" si="4"/>
        <v>150</v>
      </c>
      <c r="K27" s="21">
        <f t="shared" si="5"/>
        <v>0</v>
      </c>
      <c r="L27" s="21"/>
      <c r="M27" s="22">
        <f t="shared" si="6"/>
        <v>0</v>
      </c>
      <c r="N27" s="22">
        <v>0.0</v>
      </c>
      <c r="O27" s="24">
        <f t="shared" si="7"/>
        <v>0</v>
      </c>
    </row>
    <row r="28" ht="13.5" customHeight="1">
      <c r="B28" s="37" t="s">
        <v>35</v>
      </c>
      <c r="C28" s="20">
        <v>7.0</v>
      </c>
      <c r="D28" s="21">
        <v>50.0</v>
      </c>
      <c r="E28" s="21">
        <v>50.0</v>
      </c>
      <c r="F28" s="21">
        <f t="shared" si="1"/>
        <v>100</v>
      </c>
      <c r="G28" s="22">
        <v>200.0</v>
      </c>
      <c r="H28" s="20">
        <f t="shared" si="2"/>
        <v>350</v>
      </c>
      <c r="I28" s="21">
        <f t="shared" si="3"/>
        <v>350</v>
      </c>
      <c r="J28" s="23">
        <f t="shared" si="4"/>
        <v>1400</v>
      </c>
      <c r="K28" s="21">
        <f t="shared" si="5"/>
        <v>700</v>
      </c>
      <c r="L28" s="21"/>
      <c r="M28" s="22">
        <f t="shared" si="6"/>
        <v>700</v>
      </c>
      <c r="N28" s="22">
        <v>700.0</v>
      </c>
      <c r="O28" s="24">
        <f t="shared" si="7"/>
        <v>0</v>
      </c>
    </row>
    <row r="29" ht="13.5" customHeight="1">
      <c r="B29" s="37" t="s">
        <v>36</v>
      </c>
      <c r="C29" s="27">
        <v>10.0</v>
      </c>
      <c r="D29" s="21">
        <v>50.0</v>
      </c>
      <c r="E29" s="21">
        <v>50.0</v>
      </c>
      <c r="F29" s="21">
        <f t="shared" si="1"/>
        <v>500</v>
      </c>
      <c r="G29" s="22">
        <v>600.0</v>
      </c>
      <c r="H29" s="20">
        <f t="shared" si="2"/>
        <v>500</v>
      </c>
      <c r="I29" s="21">
        <f t="shared" si="3"/>
        <v>500</v>
      </c>
      <c r="J29" s="23">
        <f t="shared" si="4"/>
        <v>6000</v>
      </c>
      <c r="K29" s="21">
        <f t="shared" si="5"/>
        <v>5000</v>
      </c>
      <c r="L29" s="21">
        <v>7600.0</v>
      </c>
      <c r="M29" s="22">
        <f t="shared" si="6"/>
        <v>12600</v>
      </c>
      <c r="N29" s="22">
        <v>11590.0</v>
      </c>
      <c r="O29" s="24">
        <f t="shared" si="7"/>
        <v>1010</v>
      </c>
    </row>
    <row r="30" ht="13.5" customHeight="1">
      <c r="B30" s="37" t="s">
        <v>37</v>
      </c>
      <c r="C30" s="27">
        <v>3.0</v>
      </c>
      <c r="D30" s="21">
        <v>50.0</v>
      </c>
      <c r="E30" s="21">
        <v>50.0</v>
      </c>
      <c r="F30" s="21">
        <f t="shared" si="1"/>
        <v>200</v>
      </c>
      <c r="G30" s="22">
        <v>300.0</v>
      </c>
      <c r="H30" s="20">
        <f t="shared" si="2"/>
        <v>150</v>
      </c>
      <c r="I30" s="21">
        <f t="shared" si="3"/>
        <v>150</v>
      </c>
      <c r="J30" s="23">
        <f t="shared" si="4"/>
        <v>900</v>
      </c>
      <c r="K30" s="21">
        <f t="shared" si="5"/>
        <v>600</v>
      </c>
      <c r="L30" s="21">
        <v>2000.0</v>
      </c>
      <c r="M30" s="22">
        <f t="shared" si="6"/>
        <v>2600</v>
      </c>
      <c r="N30" s="22">
        <v>2399.0</v>
      </c>
      <c r="O30" s="24">
        <f t="shared" si="7"/>
        <v>201</v>
      </c>
    </row>
    <row r="31" ht="13.5" customHeight="1">
      <c r="B31" s="38" t="s">
        <v>38</v>
      </c>
      <c r="C31" s="20">
        <v>15.0</v>
      </c>
      <c r="D31" s="21">
        <v>50.0</v>
      </c>
      <c r="E31" s="21">
        <v>50.0</v>
      </c>
      <c r="F31" s="21">
        <f t="shared" si="1"/>
        <v>300</v>
      </c>
      <c r="G31" s="22">
        <v>400.0</v>
      </c>
      <c r="H31" s="20">
        <f t="shared" si="2"/>
        <v>750</v>
      </c>
      <c r="I31" s="21">
        <f t="shared" si="3"/>
        <v>750</v>
      </c>
      <c r="J31" s="23">
        <f t="shared" si="4"/>
        <v>6000</v>
      </c>
      <c r="K31" s="21">
        <f t="shared" si="5"/>
        <v>4500</v>
      </c>
      <c r="L31" s="21">
        <v>3400.0</v>
      </c>
      <c r="M31" s="22">
        <f t="shared" si="6"/>
        <v>7900</v>
      </c>
      <c r="N31" s="22">
        <v>6192.99</v>
      </c>
      <c r="O31" s="24">
        <f t="shared" si="7"/>
        <v>1707.01</v>
      </c>
    </row>
    <row r="32" ht="13.5" customHeight="1">
      <c r="B32" s="37" t="s">
        <v>16</v>
      </c>
      <c r="C32" s="20">
        <v>4.0</v>
      </c>
      <c r="D32" s="21">
        <v>50.0</v>
      </c>
      <c r="E32" s="21">
        <v>0.0</v>
      </c>
      <c r="F32" s="21">
        <f t="shared" si="1"/>
        <v>50</v>
      </c>
      <c r="G32" s="22">
        <v>100.0</v>
      </c>
      <c r="H32" s="20">
        <f t="shared" si="2"/>
        <v>200</v>
      </c>
      <c r="I32" s="21">
        <f t="shared" si="3"/>
        <v>0</v>
      </c>
      <c r="J32" s="23">
        <f t="shared" si="4"/>
        <v>400</v>
      </c>
      <c r="K32" s="21">
        <f t="shared" si="5"/>
        <v>200</v>
      </c>
      <c r="L32" s="21"/>
      <c r="M32" s="22">
        <f t="shared" si="6"/>
        <v>200</v>
      </c>
      <c r="N32" s="22">
        <v>0.0</v>
      </c>
      <c r="O32" s="24">
        <f t="shared" si="7"/>
        <v>200</v>
      </c>
    </row>
    <row r="33" ht="13.5" customHeight="1">
      <c r="B33" s="37" t="s">
        <v>39</v>
      </c>
      <c r="C33" s="20">
        <v>6.0</v>
      </c>
      <c r="D33" s="21">
        <v>50.0</v>
      </c>
      <c r="E33" s="21">
        <v>50.0</v>
      </c>
      <c r="F33" s="21">
        <f t="shared" si="1"/>
        <v>100</v>
      </c>
      <c r="G33" s="22">
        <v>200.0</v>
      </c>
      <c r="H33" s="20">
        <f t="shared" si="2"/>
        <v>300</v>
      </c>
      <c r="I33" s="21">
        <f t="shared" si="3"/>
        <v>300</v>
      </c>
      <c r="J33" s="23">
        <f t="shared" si="4"/>
        <v>1200</v>
      </c>
      <c r="K33" s="21">
        <f t="shared" si="5"/>
        <v>600</v>
      </c>
      <c r="L33" s="21"/>
      <c r="M33" s="22">
        <f t="shared" si="6"/>
        <v>600</v>
      </c>
      <c r="N33" s="22">
        <v>600.0</v>
      </c>
      <c r="O33" s="24">
        <f t="shared" si="7"/>
        <v>0</v>
      </c>
    </row>
    <row r="34" ht="13.5" customHeight="1">
      <c r="B34" s="37" t="s">
        <v>40</v>
      </c>
      <c r="C34" s="20">
        <v>3.0</v>
      </c>
      <c r="D34" s="21">
        <v>30.0</v>
      </c>
      <c r="E34" s="21">
        <v>0.0</v>
      </c>
      <c r="F34" s="21">
        <f t="shared" si="1"/>
        <v>0</v>
      </c>
      <c r="G34" s="22">
        <v>30.0</v>
      </c>
      <c r="H34" s="20">
        <f t="shared" si="2"/>
        <v>90</v>
      </c>
      <c r="I34" s="21">
        <f t="shared" si="3"/>
        <v>0</v>
      </c>
      <c r="J34" s="23">
        <f t="shared" si="4"/>
        <v>90</v>
      </c>
      <c r="K34" s="21">
        <f t="shared" si="5"/>
        <v>0</v>
      </c>
      <c r="L34" s="21"/>
      <c r="M34" s="22">
        <f t="shared" si="6"/>
        <v>0</v>
      </c>
      <c r="N34" s="22">
        <v>0.0</v>
      </c>
      <c r="O34" s="24">
        <f t="shared" si="7"/>
        <v>0</v>
      </c>
    </row>
    <row r="35" ht="13.5" customHeight="1">
      <c r="B35" s="37" t="s">
        <v>41</v>
      </c>
      <c r="C35" s="20">
        <v>10.0</v>
      </c>
      <c r="D35" s="21">
        <v>30.0</v>
      </c>
      <c r="E35" s="21">
        <v>0.0</v>
      </c>
      <c r="F35" s="21">
        <f t="shared" si="1"/>
        <v>0</v>
      </c>
      <c r="G35" s="22">
        <v>30.0</v>
      </c>
      <c r="H35" s="20">
        <f t="shared" si="2"/>
        <v>300</v>
      </c>
      <c r="I35" s="21">
        <f t="shared" si="3"/>
        <v>0</v>
      </c>
      <c r="J35" s="23">
        <f t="shared" si="4"/>
        <v>300</v>
      </c>
      <c r="K35" s="21">
        <f t="shared" si="5"/>
        <v>0</v>
      </c>
      <c r="L35" s="21"/>
      <c r="M35" s="22">
        <f t="shared" si="6"/>
        <v>0</v>
      </c>
      <c r="N35" s="22">
        <v>0.0</v>
      </c>
      <c r="O35" s="24">
        <f t="shared" si="7"/>
        <v>0</v>
      </c>
    </row>
    <row r="36" ht="13.5" customHeight="1">
      <c r="B36" s="37" t="s">
        <v>42</v>
      </c>
      <c r="C36" s="20">
        <v>17.0</v>
      </c>
      <c r="D36" s="21">
        <v>50.0</v>
      </c>
      <c r="E36" s="21">
        <v>50.0</v>
      </c>
      <c r="F36" s="21">
        <f t="shared" si="1"/>
        <v>400</v>
      </c>
      <c r="G36" s="22">
        <v>500.0</v>
      </c>
      <c r="H36" s="20">
        <f t="shared" si="2"/>
        <v>850</v>
      </c>
      <c r="I36" s="21">
        <f t="shared" si="3"/>
        <v>850</v>
      </c>
      <c r="J36" s="23">
        <f t="shared" si="4"/>
        <v>8500</v>
      </c>
      <c r="K36" s="21">
        <f t="shared" si="5"/>
        <v>6800</v>
      </c>
      <c r="L36" s="21">
        <v>7200.0</v>
      </c>
      <c r="M36" s="22">
        <f t="shared" si="6"/>
        <v>14000</v>
      </c>
      <c r="N36" s="22">
        <v>11722.02</v>
      </c>
      <c r="O36" s="24">
        <f t="shared" si="7"/>
        <v>2277.98</v>
      </c>
    </row>
    <row r="37" ht="13.5" customHeight="1">
      <c r="B37" s="37" t="s">
        <v>43</v>
      </c>
      <c r="C37" s="20">
        <v>17.0</v>
      </c>
      <c r="D37" s="21">
        <v>50.0</v>
      </c>
      <c r="E37" s="21">
        <v>50.0</v>
      </c>
      <c r="F37" s="21">
        <f t="shared" si="1"/>
        <v>200</v>
      </c>
      <c r="G37" s="22">
        <v>300.0</v>
      </c>
      <c r="H37" s="20">
        <f t="shared" si="2"/>
        <v>850</v>
      </c>
      <c r="I37" s="21">
        <f t="shared" si="3"/>
        <v>850</v>
      </c>
      <c r="J37" s="23">
        <f t="shared" si="4"/>
        <v>5100</v>
      </c>
      <c r="K37" s="21">
        <f t="shared" si="5"/>
        <v>3400</v>
      </c>
      <c r="L37" s="21">
        <v>2000.0</v>
      </c>
      <c r="M37" s="22">
        <f t="shared" si="6"/>
        <v>5400</v>
      </c>
      <c r="N37" s="22">
        <v>4261.03</v>
      </c>
      <c r="O37" s="24">
        <f t="shared" si="7"/>
        <v>1138.97</v>
      </c>
    </row>
    <row r="38" ht="13.5" customHeight="1">
      <c r="B38" s="39" t="s">
        <v>44</v>
      </c>
      <c r="C38" s="40">
        <v>7.0</v>
      </c>
      <c r="D38" s="41">
        <v>50.0</v>
      </c>
      <c r="E38" s="41">
        <v>50.0</v>
      </c>
      <c r="F38" s="41">
        <f t="shared" si="1"/>
        <v>300</v>
      </c>
      <c r="G38" s="42">
        <v>400.0</v>
      </c>
      <c r="H38" s="40">
        <f t="shared" si="2"/>
        <v>350</v>
      </c>
      <c r="I38" s="41">
        <f t="shared" si="3"/>
        <v>350</v>
      </c>
      <c r="J38" s="43">
        <f t="shared" si="4"/>
        <v>2800</v>
      </c>
      <c r="K38" s="41">
        <f t="shared" si="5"/>
        <v>2100</v>
      </c>
      <c r="L38" s="41">
        <v>3400.0</v>
      </c>
      <c r="M38" s="42">
        <f t="shared" si="6"/>
        <v>5500</v>
      </c>
      <c r="N38" s="42">
        <v>4703.04</v>
      </c>
      <c r="O38" s="44">
        <f t="shared" si="7"/>
        <v>796.96</v>
      </c>
    </row>
    <row r="39" ht="13.5" customHeight="1">
      <c r="H39" s="45">
        <f t="shared" ref="H39:O39" si="8">SUM(H4:H38)</f>
        <v>15190</v>
      </c>
      <c r="I39" s="45">
        <f t="shared" si="8"/>
        <v>11000</v>
      </c>
      <c r="J39" s="46">
        <f t="shared" si="8"/>
        <v>69590</v>
      </c>
      <c r="K39" s="45">
        <f t="shared" si="8"/>
        <v>43400</v>
      </c>
      <c r="L39" s="45">
        <f t="shared" si="8"/>
        <v>36000</v>
      </c>
      <c r="M39" s="45">
        <f t="shared" si="8"/>
        <v>79400</v>
      </c>
      <c r="N39" s="45">
        <f t="shared" si="8"/>
        <v>66227.3</v>
      </c>
      <c r="O39" s="47">
        <f t="shared" si="8"/>
        <v>13172.7</v>
      </c>
    </row>
    <row r="40" ht="13.5" customHeight="1"/>
    <row r="41" ht="13.5" customHeight="1">
      <c r="B41" s="48" t="s">
        <v>45</v>
      </c>
      <c r="C41" s="28">
        <f>SUM(C4:C38)-C4-C13-C21-C26-C32</f>
        <v>293</v>
      </c>
    </row>
    <row r="42" ht="13.5" customHeight="1">
      <c r="B42" s="49" t="s">
        <v>46</v>
      </c>
      <c r="C42" s="28">
        <v>67160.0</v>
      </c>
      <c r="P42" s="28"/>
    </row>
    <row r="43" ht="13.5" customHeight="1">
      <c r="B43" s="50" t="s">
        <v>47</v>
      </c>
      <c r="C43" s="51">
        <v>3190.0</v>
      </c>
      <c r="P43" s="28"/>
    </row>
    <row r="44" ht="13.5" customHeight="1">
      <c r="B44" s="49" t="s">
        <v>89</v>
      </c>
      <c r="C44" s="28">
        <v>480.0</v>
      </c>
      <c r="P44" s="28"/>
    </row>
    <row r="45" ht="13.5" customHeight="1">
      <c r="B45" s="49" t="s">
        <v>48</v>
      </c>
      <c r="C45" s="28">
        <f>-500-100-300-340</f>
        <v>-1240</v>
      </c>
    </row>
    <row r="46" ht="13.5" customHeight="1">
      <c r="B46" s="52" t="s">
        <v>49</v>
      </c>
      <c r="C46" s="46">
        <f>C42+C43+C44+C45</f>
        <v>69590</v>
      </c>
    </row>
    <row r="47" ht="13.5" customHeight="1">
      <c r="C47" s="28"/>
    </row>
    <row r="48" ht="13.5" customHeight="1">
      <c r="B48" s="52" t="s">
        <v>50</v>
      </c>
      <c r="C48" s="46">
        <f>I39</f>
        <v>11000</v>
      </c>
    </row>
    <row r="49" ht="13.5" customHeight="1">
      <c r="B49" s="52" t="s">
        <v>51</v>
      </c>
      <c r="C49" s="46">
        <f>H39</f>
        <v>15190</v>
      </c>
    </row>
    <row r="50" ht="13.5" customHeight="1">
      <c r="B50" s="52" t="s">
        <v>52</v>
      </c>
      <c r="C50" s="46">
        <f>K39</f>
        <v>43400</v>
      </c>
    </row>
    <row r="51" ht="13.5" customHeight="1">
      <c r="C51" s="28"/>
    </row>
    <row r="52" ht="13.5" customHeight="1">
      <c r="B52" s="53" t="s">
        <v>90</v>
      </c>
      <c r="C52" s="54">
        <f>SUM(L4:L20)</f>
        <v>10400</v>
      </c>
    </row>
    <row r="53" ht="13.5" customHeight="1">
      <c r="B53" s="55" t="s">
        <v>91</v>
      </c>
      <c r="C53" s="56">
        <f>SUM(L21:L38)+3405</f>
        <v>29005</v>
      </c>
    </row>
    <row r="54" ht="13.5" customHeight="1">
      <c r="A54" s="57"/>
      <c r="B54" s="49" t="s">
        <v>55</v>
      </c>
      <c r="C54" s="58">
        <f>C53+C52+C50</f>
        <v>82805</v>
      </c>
    </row>
    <row r="55" ht="13.5" customHeight="1">
      <c r="A55" s="59"/>
    </row>
    <row r="56" ht="13.5" customHeight="1">
      <c r="A56" s="60"/>
      <c r="B56" s="61" t="s">
        <v>56</v>
      </c>
      <c r="C56" s="61">
        <f>C48*70%</f>
        <v>7700</v>
      </c>
    </row>
    <row r="57" ht="13.5" customHeight="1">
      <c r="A57" s="60"/>
      <c r="C57" s="62"/>
    </row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B1:O1"/>
    <mergeCell ref="B2:O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30.63"/>
    <col customWidth="1" min="2" max="26" width="8.63"/>
  </cols>
  <sheetData>
    <row r="1" ht="13.5" customHeight="1">
      <c r="A1" s="63" t="s">
        <v>88</v>
      </c>
    </row>
    <row r="2" ht="13.5" customHeight="1">
      <c r="A2" s="64" t="s">
        <v>58</v>
      </c>
      <c r="B2" s="65"/>
      <c r="C2" s="65"/>
      <c r="D2" s="66"/>
    </row>
    <row r="3" ht="13.5" customHeight="1">
      <c r="A3" s="67"/>
      <c r="B3" s="68" t="s">
        <v>3</v>
      </c>
      <c r="C3" s="69" t="s">
        <v>59</v>
      </c>
      <c r="D3" s="69" t="s">
        <v>7</v>
      </c>
      <c r="E3" s="69" t="s">
        <v>60</v>
      </c>
      <c r="F3" s="69" t="s">
        <v>61</v>
      </c>
      <c r="G3" s="69" t="s">
        <v>62</v>
      </c>
      <c r="H3" s="70" t="s">
        <v>63</v>
      </c>
    </row>
    <row r="4" ht="13.5" customHeight="1">
      <c r="A4" s="71" t="s">
        <v>66</v>
      </c>
      <c r="B4" s="72">
        <v>13.0</v>
      </c>
      <c r="C4" s="73">
        <v>170.0</v>
      </c>
      <c r="D4" s="74">
        <v>0.0</v>
      </c>
      <c r="E4" s="75">
        <f t="shared" ref="E4:E7" si="1">C4+D4</f>
        <v>170</v>
      </c>
      <c r="F4" s="76">
        <f t="shared" ref="F4:F56" si="2">E4*B4</f>
        <v>2210</v>
      </c>
      <c r="G4" s="73">
        <f t="shared" ref="G4:G56" si="3">C4*B4</f>
        <v>2210</v>
      </c>
      <c r="H4" s="77">
        <f t="shared" ref="H4:H56" si="4">D4*B4</f>
        <v>0</v>
      </c>
    </row>
    <row r="5" ht="13.5" customHeight="1">
      <c r="A5" s="78" t="s">
        <v>67</v>
      </c>
      <c r="B5" s="79">
        <v>53.0</v>
      </c>
      <c r="C5" s="80">
        <v>240.0</v>
      </c>
      <c r="D5" s="81">
        <v>0.0</v>
      </c>
      <c r="E5" s="82">
        <f t="shared" si="1"/>
        <v>240</v>
      </c>
      <c r="F5" s="83">
        <f t="shared" si="2"/>
        <v>12720</v>
      </c>
      <c r="G5" s="80">
        <f t="shared" si="3"/>
        <v>12720</v>
      </c>
      <c r="H5" s="84">
        <f t="shared" si="4"/>
        <v>0</v>
      </c>
    </row>
    <row r="6" ht="13.5" customHeight="1">
      <c r="A6" s="78" t="s">
        <v>73</v>
      </c>
      <c r="B6" s="79">
        <v>4.0</v>
      </c>
      <c r="C6" s="80">
        <v>240.0</v>
      </c>
      <c r="D6" s="81">
        <v>0.0</v>
      </c>
      <c r="E6" s="82">
        <f t="shared" si="1"/>
        <v>240</v>
      </c>
      <c r="F6" s="83">
        <f t="shared" si="2"/>
        <v>960</v>
      </c>
      <c r="G6" s="80">
        <f t="shared" si="3"/>
        <v>960</v>
      </c>
      <c r="H6" s="84">
        <f t="shared" si="4"/>
        <v>0</v>
      </c>
    </row>
    <row r="7" ht="13.5" customHeight="1">
      <c r="A7" s="85" t="s">
        <v>74</v>
      </c>
      <c r="B7" s="86">
        <v>3.0</v>
      </c>
      <c r="C7" s="87">
        <v>170.0</v>
      </c>
      <c r="D7" s="88">
        <v>0.0</v>
      </c>
      <c r="E7" s="89">
        <f t="shared" si="1"/>
        <v>170</v>
      </c>
      <c r="F7" s="90">
        <f t="shared" si="2"/>
        <v>510</v>
      </c>
      <c r="G7" s="91">
        <f t="shared" si="3"/>
        <v>510</v>
      </c>
      <c r="H7" s="92">
        <f t="shared" si="4"/>
        <v>0</v>
      </c>
    </row>
    <row r="8" ht="13.5" customHeight="1">
      <c r="A8" s="93" t="s">
        <v>16</v>
      </c>
      <c r="B8" s="13">
        <v>14.0</v>
      </c>
      <c r="C8" s="94">
        <v>200.0</v>
      </c>
      <c r="D8" s="17">
        <f t="shared" ref="D8:D16" si="5">E8-C8</f>
        <v>100</v>
      </c>
      <c r="E8" s="138">
        <v>300.0</v>
      </c>
      <c r="F8" s="139">
        <f t="shared" si="2"/>
        <v>4200</v>
      </c>
      <c r="G8" s="94">
        <f t="shared" si="3"/>
        <v>2800</v>
      </c>
      <c r="H8" s="140">
        <f t="shared" si="4"/>
        <v>1400</v>
      </c>
    </row>
    <row r="9" ht="13.5" customHeight="1">
      <c r="A9" s="101" t="s">
        <v>17</v>
      </c>
      <c r="B9" s="20">
        <v>10.0</v>
      </c>
      <c r="C9" s="100">
        <v>150.0</v>
      </c>
      <c r="D9" s="24">
        <f t="shared" si="5"/>
        <v>150</v>
      </c>
      <c r="E9" s="95">
        <v>300.0</v>
      </c>
      <c r="F9" s="96">
        <f t="shared" si="2"/>
        <v>3000</v>
      </c>
      <c r="G9" s="97">
        <f t="shared" si="3"/>
        <v>1500</v>
      </c>
      <c r="H9" s="98">
        <f t="shared" si="4"/>
        <v>1500</v>
      </c>
    </row>
    <row r="10" ht="13.5" customHeight="1">
      <c r="A10" s="99" t="s">
        <v>18</v>
      </c>
      <c r="B10" s="20">
        <v>12.0</v>
      </c>
      <c r="C10" s="100">
        <v>200.0</v>
      </c>
      <c r="D10" s="24">
        <f t="shared" si="5"/>
        <v>200</v>
      </c>
      <c r="E10" s="95">
        <v>400.0</v>
      </c>
      <c r="F10" s="96">
        <f t="shared" si="2"/>
        <v>4800</v>
      </c>
      <c r="G10" s="97">
        <f t="shared" si="3"/>
        <v>2400</v>
      </c>
      <c r="H10" s="98">
        <f t="shared" si="4"/>
        <v>2400</v>
      </c>
    </row>
    <row r="11" ht="13.5" customHeight="1">
      <c r="A11" s="101" t="s">
        <v>19</v>
      </c>
      <c r="B11" s="20">
        <v>19.0</v>
      </c>
      <c r="C11" s="100">
        <v>170.0</v>
      </c>
      <c r="D11" s="24">
        <f t="shared" si="5"/>
        <v>30</v>
      </c>
      <c r="E11" s="95">
        <v>200.0</v>
      </c>
      <c r="F11" s="96">
        <f t="shared" si="2"/>
        <v>3800</v>
      </c>
      <c r="G11" s="97">
        <f t="shared" si="3"/>
        <v>3230</v>
      </c>
      <c r="H11" s="98">
        <f t="shared" si="4"/>
        <v>570</v>
      </c>
    </row>
    <row r="12" ht="13.5" customHeight="1">
      <c r="A12" s="102" t="s">
        <v>20</v>
      </c>
      <c r="B12" s="20">
        <v>4.0</v>
      </c>
      <c r="C12" s="100">
        <v>170.0</v>
      </c>
      <c r="D12" s="24">
        <f t="shared" si="5"/>
        <v>30</v>
      </c>
      <c r="E12" s="95">
        <v>200.0</v>
      </c>
      <c r="F12" s="96">
        <f t="shared" si="2"/>
        <v>800</v>
      </c>
      <c r="G12" s="97">
        <f t="shared" si="3"/>
        <v>680</v>
      </c>
      <c r="H12" s="98">
        <f t="shared" si="4"/>
        <v>120</v>
      </c>
    </row>
    <row r="13" ht="13.5" customHeight="1">
      <c r="A13" s="101" t="s">
        <v>21</v>
      </c>
      <c r="B13" s="20">
        <v>12.0</v>
      </c>
      <c r="C13" s="100">
        <v>200.0</v>
      </c>
      <c r="D13" s="24">
        <f t="shared" si="5"/>
        <v>200</v>
      </c>
      <c r="E13" s="95">
        <v>400.0</v>
      </c>
      <c r="F13" s="106">
        <f t="shared" si="2"/>
        <v>4800</v>
      </c>
      <c r="G13" s="100">
        <f t="shared" si="3"/>
        <v>2400</v>
      </c>
      <c r="H13" s="104">
        <f t="shared" si="4"/>
        <v>2400</v>
      </c>
    </row>
    <row r="14" ht="13.5" customHeight="1">
      <c r="A14" s="107" t="s">
        <v>22</v>
      </c>
      <c r="B14" s="27">
        <v>6.0</v>
      </c>
      <c r="C14" s="100">
        <v>200.0</v>
      </c>
      <c r="D14" s="24">
        <f t="shared" si="5"/>
        <v>300</v>
      </c>
      <c r="E14" s="95">
        <v>500.0</v>
      </c>
      <c r="F14" s="96">
        <f t="shared" si="2"/>
        <v>3000</v>
      </c>
      <c r="G14" s="97">
        <f t="shared" si="3"/>
        <v>1200</v>
      </c>
      <c r="H14" s="98">
        <f t="shared" si="4"/>
        <v>1800</v>
      </c>
    </row>
    <row r="15" ht="13.5" customHeight="1">
      <c r="A15" s="108" t="s">
        <v>23</v>
      </c>
      <c r="B15" s="27">
        <v>9.0</v>
      </c>
      <c r="C15" s="100">
        <v>200.0</v>
      </c>
      <c r="D15" s="24">
        <f t="shared" si="5"/>
        <v>250</v>
      </c>
      <c r="E15" s="95">
        <v>450.0</v>
      </c>
      <c r="F15" s="105">
        <f t="shared" si="2"/>
        <v>4050</v>
      </c>
      <c r="G15" s="100">
        <f t="shared" si="3"/>
        <v>1800</v>
      </c>
      <c r="H15" s="104">
        <f t="shared" si="4"/>
        <v>2250</v>
      </c>
    </row>
    <row r="16" ht="13.5" customHeight="1">
      <c r="A16" s="141" t="s">
        <v>24</v>
      </c>
      <c r="B16" s="110">
        <v>9.0</v>
      </c>
      <c r="C16" s="111">
        <v>200.0</v>
      </c>
      <c r="D16" s="44">
        <f t="shared" si="5"/>
        <v>300</v>
      </c>
      <c r="E16" s="142">
        <v>500.0</v>
      </c>
      <c r="F16" s="143">
        <f t="shared" si="2"/>
        <v>4500</v>
      </c>
      <c r="G16" s="111">
        <f t="shared" si="3"/>
        <v>1800</v>
      </c>
      <c r="H16" s="144">
        <f t="shared" si="4"/>
        <v>2700</v>
      </c>
    </row>
    <row r="17" ht="13.5" customHeight="1">
      <c r="A17" s="145" t="s">
        <v>78</v>
      </c>
      <c r="B17" s="112">
        <v>4.0</v>
      </c>
      <c r="C17" s="113">
        <v>170.0</v>
      </c>
      <c r="D17" s="114">
        <v>0.0</v>
      </c>
      <c r="E17" s="146">
        <f t="shared" ref="E17:E20" si="6">C17+D17</f>
        <v>170</v>
      </c>
      <c r="F17" s="147">
        <f t="shared" si="2"/>
        <v>680</v>
      </c>
      <c r="G17" s="113">
        <f t="shared" si="3"/>
        <v>680</v>
      </c>
      <c r="H17" s="148">
        <f t="shared" si="4"/>
        <v>0</v>
      </c>
    </row>
    <row r="18" ht="13.5" customHeight="1">
      <c r="A18" s="78" t="s">
        <v>79</v>
      </c>
      <c r="B18" s="79">
        <v>17.0</v>
      </c>
      <c r="C18" s="80">
        <v>240.0</v>
      </c>
      <c r="D18" s="81">
        <v>0.0</v>
      </c>
      <c r="E18" s="82">
        <f t="shared" si="6"/>
        <v>240</v>
      </c>
      <c r="F18" s="83">
        <f t="shared" si="2"/>
        <v>4080</v>
      </c>
      <c r="G18" s="80">
        <f t="shared" si="3"/>
        <v>4080</v>
      </c>
      <c r="H18" s="84">
        <f t="shared" si="4"/>
        <v>0</v>
      </c>
    </row>
    <row r="19" ht="13.5" customHeight="1">
      <c r="A19" s="78" t="s">
        <v>80</v>
      </c>
      <c r="B19" s="79">
        <v>5.0</v>
      </c>
      <c r="C19" s="80">
        <v>240.0</v>
      </c>
      <c r="D19" s="81">
        <v>0.0</v>
      </c>
      <c r="E19" s="82">
        <f t="shared" si="6"/>
        <v>240</v>
      </c>
      <c r="F19" s="83">
        <f t="shared" si="2"/>
        <v>1200</v>
      </c>
      <c r="G19" s="80">
        <f t="shared" si="3"/>
        <v>1200</v>
      </c>
      <c r="H19" s="84">
        <f t="shared" si="4"/>
        <v>0</v>
      </c>
    </row>
    <row r="20" ht="13.5" customHeight="1">
      <c r="A20" s="85" t="s">
        <v>81</v>
      </c>
      <c r="B20" s="115">
        <v>1.0</v>
      </c>
      <c r="C20" s="91">
        <v>170.0</v>
      </c>
      <c r="D20" s="116">
        <v>0.0</v>
      </c>
      <c r="E20" s="89">
        <f t="shared" si="6"/>
        <v>170</v>
      </c>
      <c r="F20" s="90">
        <f t="shared" si="2"/>
        <v>170</v>
      </c>
      <c r="G20" s="91">
        <f t="shared" si="3"/>
        <v>170</v>
      </c>
      <c r="H20" s="92">
        <f t="shared" si="4"/>
        <v>0</v>
      </c>
    </row>
    <row r="21" ht="13.5" customHeight="1">
      <c r="A21" s="117" t="s">
        <v>16</v>
      </c>
      <c r="B21" s="106">
        <v>5.0</v>
      </c>
      <c r="C21" s="100">
        <v>200.0</v>
      </c>
      <c r="D21" s="24">
        <f t="shared" ref="D21:D28" si="7">E21-C21</f>
        <v>100</v>
      </c>
      <c r="E21" s="23">
        <v>300.0</v>
      </c>
      <c r="F21" s="96">
        <f t="shared" si="2"/>
        <v>1500</v>
      </c>
      <c r="G21" s="97">
        <f t="shared" si="3"/>
        <v>1000</v>
      </c>
      <c r="H21" s="98">
        <f t="shared" si="4"/>
        <v>500</v>
      </c>
    </row>
    <row r="22" ht="13.5" customHeight="1">
      <c r="A22" s="120" t="s">
        <v>30</v>
      </c>
      <c r="B22" s="106">
        <v>11.0</v>
      </c>
      <c r="C22" s="100">
        <v>200.0</v>
      </c>
      <c r="D22" s="24">
        <f t="shared" si="7"/>
        <v>200</v>
      </c>
      <c r="E22" s="23">
        <v>400.0</v>
      </c>
      <c r="F22" s="96">
        <f t="shared" si="2"/>
        <v>4400</v>
      </c>
      <c r="G22" s="97">
        <f t="shared" si="3"/>
        <v>2200</v>
      </c>
      <c r="H22" s="98">
        <f t="shared" si="4"/>
        <v>2200</v>
      </c>
    </row>
    <row r="23" ht="13.5" customHeight="1">
      <c r="A23" s="120" t="s">
        <v>31</v>
      </c>
      <c r="B23" s="106">
        <v>8.0</v>
      </c>
      <c r="C23" s="100">
        <v>200.0</v>
      </c>
      <c r="D23" s="24">
        <f t="shared" si="7"/>
        <v>200</v>
      </c>
      <c r="E23" s="23">
        <v>400.0</v>
      </c>
      <c r="F23" s="96">
        <f t="shared" si="2"/>
        <v>3200</v>
      </c>
      <c r="G23" s="97">
        <f t="shared" si="3"/>
        <v>1600</v>
      </c>
      <c r="H23" s="98">
        <f t="shared" si="4"/>
        <v>1600</v>
      </c>
    </row>
    <row r="24" ht="13.5" customHeight="1">
      <c r="A24" s="120" t="s">
        <v>25</v>
      </c>
      <c r="B24" s="106">
        <v>14.0</v>
      </c>
      <c r="C24" s="100">
        <v>200.0</v>
      </c>
      <c r="D24" s="24">
        <f t="shared" si="7"/>
        <v>300</v>
      </c>
      <c r="E24" s="23">
        <v>500.0</v>
      </c>
      <c r="F24" s="96">
        <f t="shared" si="2"/>
        <v>7000</v>
      </c>
      <c r="G24" s="97">
        <f t="shared" si="3"/>
        <v>2800</v>
      </c>
      <c r="H24" s="98">
        <f t="shared" si="4"/>
        <v>4200</v>
      </c>
    </row>
    <row r="25" ht="13.5" customHeight="1">
      <c r="A25" s="120" t="s">
        <v>26</v>
      </c>
      <c r="B25" s="106">
        <v>16.0</v>
      </c>
      <c r="C25" s="100">
        <v>200.0</v>
      </c>
      <c r="D25" s="24">
        <f t="shared" si="7"/>
        <v>250</v>
      </c>
      <c r="E25" s="23">
        <v>450.0</v>
      </c>
      <c r="F25" s="96">
        <f t="shared" si="2"/>
        <v>7200</v>
      </c>
      <c r="G25" s="97">
        <f t="shared" si="3"/>
        <v>3200</v>
      </c>
      <c r="H25" s="98">
        <f t="shared" si="4"/>
        <v>4000</v>
      </c>
    </row>
    <row r="26" ht="13.5" customHeight="1">
      <c r="A26" s="120" t="s">
        <v>27</v>
      </c>
      <c r="B26" s="106">
        <v>8.0</v>
      </c>
      <c r="C26" s="100">
        <v>200.0</v>
      </c>
      <c r="D26" s="24">
        <f t="shared" si="7"/>
        <v>250</v>
      </c>
      <c r="E26" s="23">
        <v>450.0</v>
      </c>
      <c r="F26" s="96">
        <f t="shared" si="2"/>
        <v>3600</v>
      </c>
      <c r="G26" s="97">
        <f t="shared" si="3"/>
        <v>1600</v>
      </c>
      <c r="H26" s="98">
        <f t="shared" si="4"/>
        <v>2000</v>
      </c>
    </row>
    <row r="27" ht="13.5" customHeight="1">
      <c r="A27" s="120" t="s">
        <v>28</v>
      </c>
      <c r="B27" s="106">
        <v>11.0</v>
      </c>
      <c r="C27" s="100">
        <v>170.0</v>
      </c>
      <c r="D27" s="24">
        <f t="shared" si="7"/>
        <v>30</v>
      </c>
      <c r="E27" s="23">
        <v>200.0</v>
      </c>
      <c r="F27" s="96">
        <f t="shared" si="2"/>
        <v>2200</v>
      </c>
      <c r="G27" s="97">
        <f t="shared" si="3"/>
        <v>1870</v>
      </c>
      <c r="H27" s="98">
        <f t="shared" si="4"/>
        <v>330</v>
      </c>
    </row>
    <row r="28" ht="13.5" customHeight="1">
      <c r="A28" s="120" t="s">
        <v>29</v>
      </c>
      <c r="B28" s="106">
        <v>3.0</v>
      </c>
      <c r="C28" s="100">
        <v>170.0</v>
      </c>
      <c r="D28" s="44">
        <f t="shared" si="7"/>
        <v>30</v>
      </c>
      <c r="E28" s="23">
        <v>200.0</v>
      </c>
      <c r="F28" s="96">
        <f t="shared" si="2"/>
        <v>600</v>
      </c>
      <c r="G28" s="97">
        <f t="shared" si="3"/>
        <v>510</v>
      </c>
      <c r="H28" s="98">
        <f t="shared" si="4"/>
        <v>90</v>
      </c>
    </row>
    <row r="29" ht="13.5" customHeight="1">
      <c r="A29" s="124" t="s">
        <v>82</v>
      </c>
      <c r="B29" s="76">
        <v>2.0</v>
      </c>
      <c r="C29" s="73">
        <v>170.0</v>
      </c>
      <c r="D29" s="74">
        <v>0.0</v>
      </c>
      <c r="E29" s="75">
        <f t="shared" ref="E29:E32" si="8">C29+D29</f>
        <v>170</v>
      </c>
      <c r="F29" s="76">
        <f t="shared" si="2"/>
        <v>340</v>
      </c>
      <c r="G29" s="73">
        <f t="shared" si="3"/>
        <v>340</v>
      </c>
      <c r="H29" s="77">
        <f t="shared" si="4"/>
        <v>0</v>
      </c>
    </row>
    <row r="30" ht="13.5" customHeight="1">
      <c r="A30" s="125" t="s">
        <v>83</v>
      </c>
      <c r="B30" s="83">
        <v>22.0</v>
      </c>
      <c r="C30" s="80">
        <v>240.0</v>
      </c>
      <c r="D30" s="81">
        <v>0.0</v>
      </c>
      <c r="E30" s="82">
        <f t="shared" si="8"/>
        <v>240</v>
      </c>
      <c r="F30" s="83">
        <f t="shared" si="2"/>
        <v>5280</v>
      </c>
      <c r="G30" s="80">
        <f t="shared" si="3"/>
        <v>5280</v>
      </c>
      <c r="H30" s="84">
        <f t="shared" si="4"/>
        <v>0</v>
      </c>
    </row>
    <row r="31" ht="13.5" customHeight="1">
      <c r="A31" s="125" t="s">
        <v>84</v>
      </c>
      <c r="B31" s="83">
        <v>4.0</v>
      </c>
      <c r="C31" s="80">
        <v>240.0</v>
      </c>
      <c r="D31" s="81">
        <v>0.0</v>
      </c>
      <c r="E31" s="82">
        <f t="shared" si="8"/>
        <v>240</v>
      </c>
      <c r="F31" s="83">
        <f t="shared" si="2"/>
        <v>960</v>
      </c>
      <c r="G31" s="80">
        <f t="shared" si="3"/>
        <v>960</v>
      </c>
      <c r="H31" s="84">
        <f t="shared" si="4"/>
        <v>0</v>
      </c>
    </row>
    <row r="32" ht="13.5" customHeight="1">
      <c r="A32" s="126" t="s">
        <v>85</v>
      </c>
      <c r="B32" s="90">
        <v>0.0</v>
      </c>
      <c r="C32" s="91">
        <v>170.0</v>
      </c>
      <c r="D32" s="116">
        <v>0.0</v>
      </c>
      <c r="E32" s="89">
        <f t="shared" si="8"/>
        <v>170</v>
      </c>
      <c r="F32" s="90">
        <f t="shared" si="2"/>
        <v>0</v>
      </c>
      <c r="G32" s="91">
        <f t="shared" si="3"/>
        <v>0</v>
      </c>
      <c r="H32" s="92">
        <f t="shared" si="4"/>
        <v>0</v>
      </c>
    </row>
    <row r="33" ht="13.5" customHeight="1">
      <c r="A33" s="117" t="s">
        <v>16</v>
      </c>
      <c r="B33" s="106">
        <v>8.0</v>
      </c>
      <c r="C33" s="100">
        <v>200.0</v>
      </c>
      <c r="D33" s="24">
        <f t="shared" ref="D33:D43" si="9">E33-C33</f>
        <v>100</v>
      </c>
      <c r="E33" s="23">
        <v>300.0</v>
      </c>
      <c r="F33" s="96">
        <f t="shared" si="2"/>
        <v>2400</v>
      </c>
      <c r="G33" s="97">
        <f t="shared" si="3"/>
        <v>1600</v>
      </c>
      <c r="H33" s="98">
        <f t="shared" si="4"/>
        <v>800</v>
      </c>
    </row>
    <row r="34" ht="13.5" customHeight="1">
      <c r="A34" s="120" t="s">
        <v>32</v>
      </c>
      <c r="B34" s="106">
        <v>10.0</v>
      </c>
      <c r="C34" s="100">
        <v>200.0</v>
      </c>
      <c r="D34" s="24">
        <f t="shared" si="9"/>
        <v>200</v>
      </c>
      <c r="E34" s="23">
        <v>400.0</v>
      </c>
      <c r="F34" s="106">
        <f t="shared" si="2"/>
        <v>4000</v>
      </c>
      <c r="G34" s="100">
        <f t="shared" si="3"/>
        <v>2000</v>
      </c>
      <c r="H34" s="104">
        <f t="shared" si="4"/>
        <v>2000</v>
      </c>
    </row>
    <row r="35" ht="13.5" customHeight="1">
      <c r="A35" s="117" t="s">
        <v>17</v>
      </c>
      <c r="B35" s="106">
        <v>3.0</v>
      </c>
      <c r="C35" s="100">
        <v>150.0</v>
      </c>
      <c r="D35" s="24">
        <f t="shared" si="9"/>
        <v>150</v>
      </c>
      <c r="E35" s="23">
        <v>300.0</v>
      </c>
      <c r="F35" s="96">
        <f t="shared" si="2"/>
        <v>900</v>
      </c>
      <c r="G35" s="97">
        <f t="shared" si="3"/>
        <v>450</v>
      </c>
      <c r="H35" s="98">
        <f t="shared" si="4"/>
        <v>450</v>
      </c>
    </row>
    <row r="36" ht="13.5" customHeight="1">
      <c r="A36" s="117" t="s">
        <v>19</v>
      </c>
      <c r="B36" s="106">
        <v>18.0</v>
      </c>
      <c r="C36" s="100">
        <v>170.0</v>
      </c>
      <c r="D36" s="24">
        <f t="shared" si="9"/>
        <v>30</v>
      </c>
      <c r="E36" s="23">
        <v>200.0</v>
      </c>
      <c r="F36" s="96">
        <f t="shared" si="2"/>
        <v>3600</v>
      </c>
      <c r="G36" s="97">
        <f t="shared" si="3"/>
        <v>3060</v>
      </c>
      <c r="H36" s="98">
        <f t="shared" si="4"/>
        <v>540</v>
      </c>
    </row>
    <row r="37" ht="13.5" customHeight="1">
      <c r="A37" s="120" t="s">
        <v>33</v>
      </c>
      <c r="B37" s="106">
        <v>10.0</v>
      </c>
      <c r="C37" s="100">
        <v>200.0</v>
      </c>
      <c r="D37" s="24">
        <f t="shared" si="9"/>
        <v>200</v>
      </c>
      <c r="E37" s="23">
        <v>400.0</v>
      </c>
      <c r="F37" s="96">
        <f t="shared" si="2"/>
        <v>4000</v>
      </c>
      <c r="G37" s="97">
        <f t="shared" si="3"/>
        <v>2000</v>
      </c>
      <c r="H37" s="98">
        <f t="shared" si="4"/>
        <v>2000</v>
      </c>
    </row>
    <row r="38" ht="13.5" customHeight="1">
      <c r="A38" s="117" t="s">
        <v>92</v>
      </c>
      <c r="B38" s="106">
        <v>9.0</v>
      </c>
      <c r="C38" s="100">
        <v>200.0</v>
      </c>
      <c r="D38" s="24">
        <f t="shared" si="9"/>
        <v>100</v>
      </c>
      <c r="E38" s="23">
        <v>300.0</v>
      </c>
      <c r="F38" s="96">
        <f t="shared" si="2"/>
        <v>2700</v>
      </c>
      <c r="G38" s="97">
        <f t="shared" si="3"/>
        <v>1800</v>
      </c>
      <c r="H38" s="98">
        <f t="shared" si="4"/>
        <v>900</v>
      </c>
    </row>
    <row r="39" ht="13.5" customHeight="1">
      <c r="A39" s="118" t="s">
        <v>34</v>
      </c>
      <c r="B39" s="106">
        <v>5.0</v>
      </c>
      <c r="C39" s="100">
        <v>170.0</v>
      </c>
      <c r="D39" s="24">
        <f t="shared" si="9"/>
        <v>30</v>
      </c>
      <c r="E39" s="23">
        <v>200.0</v>
      </c>
      <c r="F39" s="96">
        <f t="shared" si="2"/>
        <v>1000</v>
      </c>
      <c r="G39" s="97">
        <f t="shared" si="3"/>
        <v>850</v>
      </c>
      <c r="H39" s="98">
        <f t="shared" si="4"/>
        <v>150</v>
      </c>
    </row>
    <row r="40" ht="13.5" customHeight="1">
      <c r="A40" s="120" t="s">
        <v>35</v>
      </c>
      <c r="B40" s="106">
        <v>7.0</v>
      </c>
      <c r="C40" s="100">
        <v>200.0</v>
      </c>
      <c r="D40" s="24">
        <f t="shared" si="9"/>
        <v>200</v>
      </c>
      <c r="E40" s="23">
        <v>400.0</v>
      </c>
      <c r="F40" s="96">
        <f t="shared" si="2"/>
        <v>2800</v>
      </c>
      <c r="G40" s="97">
        <f t="shared" si="3"/>
        <v>1400</v>
      </c>
      <c r="H40" s="98">
        <f t="shared" si="4"/>
        <v>1400</v>
      </c>
    </row>
    <row r="41" ht="13.5" customHeight="1">
      <c r="A41" s="120" t="s">
        <v>36</v>
      </c>
      <c r="B41" s="106">
        <v>10.0</v>
      </c>
      <c r="C41" s="100">
        <v>200.0</v>
      </c>
      <c r="D41" s="24">
        <f t="shared" si="9"/>
        <v>600</v>
      </c>
      <c r="E41" s="23">
        <v>800.0</v>
      </c>
      <c r="F41" s="96">
        <f t="shared" si="2"/>
        <v>8000</v>
      </c>
      <c r="G41" s="97">
        <f t="shared" si="3"/>
        <v>2000</v>
      </c>
      <c r="H41" s="98">
        <f t="shared" si="4"/>
        <v>6000</v>
      </c>
    </row>
    <row r="42" ht="13.5" customHeight="1">
      <c r="A42" s="120" t="s">
        <v>37</v>
      </c>
      <c r="B42" s="106">
        <v>3.0</v>
      </c>
      <c r="C42" s="100">
        <v>200.0</v>
      </c>
      <c r="D42" s="24">
        <f t="shared" si="9"/>
        <v>300</v>
      </c>
      <c r="E42" s="23">
        <v>500.0</v>
      </c>
      <c r="F42" s="96">
        <f t="shared" si="2"/>
        <v>1500</v>
      </c>
      <c r="G42" s="97">
        <f t="shared" si="3"/>
        <v>600</v>
      </c>
      <c r="H42" s="98">
        <f t="shared" si="4"/>
        <v>900</v>
      </c>
    </row>
    <row r="43" ht="13.5" customHeight="1">
      <c r="A43" s="118" t="s">
        <v>38</v>
      </c>
      <c r="B43" s="106">
        <v>15.0</v>
      </c>
      <c r="C43" s="100">
        <v>200.0</v>
      </c>
      <c r="D43" s="24">
        <f t="shared" si="9"/>
        <v>400</v>
      </c>
      <c r="E43" s="23">
        <v>600.0</v>
      </c>
      <c r="F43" s="96">
        <f t="shared" si="2"/>
        <v>9000</v>
      </c>
      <c r="G43" s="97">
        <f t="shared" si="3"/>
        <v>3000</v>
      </c>
      <c r="H43" s="98">
        <f t="shared" si="4"/>
        <v>6000</v>
      </c>
    </row>
    <row r="44" ht="13.5" customHeight="1">
      <c r="A44" s="124" t="s">
        <v>93</v>
      </c>
      <c r="B44" s="76">
        <v>0.0</v>
      </c>
      <c r="C44" s="73">
        <v>170.0</v>
      </c>
      <c r="D44" s="74">
        <v>0.0</v>
      </c>
      <c r="E44" s="75">
        <f t="shared" ref="E44:E47" si="10">C44+D44</f>
        <v>170</v>
      </c>
      <c r="F44" s="76">
        <f t="shared" si="2"/>
        <v>0</v>
      </c>
      <c r="G44" s="73">
        <f t="shared" si="3"/>
        <v>0</v>
      </c>
      <c r="H44" s="77">
        <f t="shared" si="4"/>
        <v>0</v>
      </c>
    </row>
    <row r="45" ht="13.5" customHeight="1">
      <c r="A45" s="125" t="s">
        <v>94</v>
      </c>
      <c r="B45" s="83">
        <v>4.0</v>
      </c>
      <c r="C45" s="80">
        <v>240.0</v>
      </c>
      <c r="D45" s="81">
        <v>0.0</v>
      </c>
      <c r="E45" s="82">
        <f t="shared" si="10"/>
        <v>240</v>
      </c>
      <c r="F45" s="83">
        <f t="shared" si="2"/>
        <v>960</v>
      </c>
      <c r="G45" s="80">
        <f t="shared" si="3"/>
        <v>960</v>
      </c>
      <c r="H45" s="84">
        <f t="shared" si="4"/>
        <v>0</v>
      </c>
    </row>
    <row r="46" ht="13.5" customHeight="1">
      <c r="A46" s="125" t="s">
        <v>95</v>
      </c>
      <c r="B46" s="83">
        <v>1.0</v>
      </c>
      <c r="C46" s="80">
        <v>240.0</v>
      </c>
      <c r="D46" s="81">
        <v>0.0</v>
      </c>
      <c r="E46" s="82">
        <f t="shared" si="10"/>
        <v>240</v>
      </c>
      <c r="F46" s="83">
        <f t="shared" si="2"/>
        <v>240</v>
      </c>
      <c r="G46" s="80">
        <f t="shared" si="3"/>
        <v>240</v>
      </c>
      <c r="H46" s="84">
        <f t="shared" si="4"/>
        <v>0</v>
      </c>
    </row>
    <row r="47" ht="13.5" customHeight="1">
      <c r="A47" s="126" t="s">
        <v>96</v>
      </c>
      <c r="B47" s="90">
        <v>0.0</v>
      </c>
      <c r="C47" s="91">
        <v>170.0</v>
      </c>
      <c r="D47" s="116">
        <v>0.0</v>
      </c>
      <c r="E47" s="89">
        <f t="shared" si="10"/>
        <v>170</v>
      </c>
      <c r="F47" s="90">
        <f t="shared" si="2"/>
        <v>0</v>
      </c>
      <c r="G47" s="91">
        <f t="shared" si="3"/>
        <v>0</v>
      </c>
      <c r="H47" s="92">
        <f t="shared" si="4"/>
        <v>0</v>
      </c>
    </row>
    <row r="48" ht="13.5" customHeight="1">
      <c r="A48" s="117" t="s">
        <v>16</v>
      </c>
      <c r="B48" s="121">
        <v>4.0</v>
      </c>
      <c r="C48" s="122">
        <v>200.0</v>
      </c>
      <c r="D48" s="24">
        <f t="shared" ref="D48:D55" si="11">E48-C48</f>
        <v>100</v>
      </c>
      <c r="E48" s="23">
        <v>300.0</v>
      </c>
      <c r="F48" s="105">
        <f t="shared" si="2"/>
        <v>1200</v>
      </c>
      <c r="G48" s="100">
        <f t="shared" si="3"/>
        <v>800</v>
      </c>
      <c r="H48" s="104">
        <f t="shared" si="4"/>
        <v>400</v>
      </c>
    </row>
    <row r="49" ht="13.5" customHeight="1">
      <c r="A49" s="120" t="s">
        <v>39</v>
      </c>
      <c r="B49" s="106">
        <v>6.0</v>
      </c>
      <c r="C49" s="100">
        <v>200.0</v>
      </c>
      <c r="D49" s="24">
        <f t="shared" si="11"/>
        <v>200</v>
      </c>
      <c r="E49" s="23">
        <v>400.0</v>
      </c>
      <c r="F49" s="96">
        <f t="shared" si="2"/>
        <v>2400</v>
      </c>
      <c r="G49" s="97">
        <f t="shared" si="3"/>
        <v>1200</v>
      </c>
      <c r="H49" s="98">
        <f t="shared" si="4"/>
        <v>1200</v>
      </c>
    </row>
    <row r="50" ht="13.5" customHeight="1">
      <c r="A50" s="120" t="s">
        <v>40</v>
      </c>
      <c r="B50" s="106">
        <v>3.0</v>
      </c>
      <c r="C50" s="100">
        <v>170.0</v>
      </c>
      <c r="D50" s="24">
        <f t="shared" si="11"/>
        <v>30</v>
      </c>
      <c r="E50" s="23">
        <v>200.0</v>
      </c>
      <c r="F50" s="96">
        <f t="shared" si="2"/>
        <v>600</v>
      </c>
      <c r="G50" s="97">
        <f t="shared" si="3"/>
        <v>510</v>
      </c>
      <c r="H50" s="98">
        <f t="shared" si="4"/>
        <v>90</v>
      </c>
    </row>
    <row r="51" ht="13.5" customHeight="1">
      <c r="A51" s="120" t="s">
        <v>41</v>
      </c>
      <c r="B51" s="106">
        <v>10.0</v>
      </c>
      <c r="C51" s="100">
        <v>170.0</v>
      </c>
      <c r="D51" s="24">
        <f t="shared" si="11"/>
        <v>30</v>
      </c>
      <c r="E51" s="23">
        <v>200.0</v>
      </c>
      <c r="F51" s="105">
        <f t="shared" si="2"/>
        <v>2000</v>
      </c>
      <c r="G51" s="100">
        <f t="shared" si="3"/>
        <v>1700</v>
      </c>
      <c r="H51" s="104">
        <f t="shared" si="4"/>
        <v>300</v>
      </c>
    </row>
    <row r="52" ht="13.5" customHeight="1">
      <c r="A52" s="120" t="s">
        <v>42</v>
      </c>
      <c r="B52" s="106">
        <v>17.0</v>
      </c>
      <c r="C52" s="100">
        <v>200.0</v>
      </c>
      <c r="D52" s="24">
        <f t="shared" si="11"/>
        <v>500</v>
      </c>
      <c r="E52" s="23">
        <v>700.0</v>
      </c>
      <c r="F52" s="105">
        <f t="shared" si="2"/>
        <v>11900</v>
      </c>
      <c r="G52" s="100">
        <f t="shared" si="3"/>
        <v>3400</v>
      </c>
      <c r="H52" s="104">
        <f t="shared" si="4"/>
        <v>8500</v>
      </c>
    </row>
    <row r="53" ht="13.5" customHeight="1">
      <c r="A53" s="117" t="s">
        <v>43</v>
      </c>
      <c r="B53" s="106">
        <v>17.0</v>
      </c>
      <c r="C53" s="100">
        <v>200.0</v>
      </c>
      <c r="D53" s="24">
        <f t="shared" si="11"/>
        <v>300</v>
      </c>
      <c r="E53" s="23">
        <v>500.0</v>
      </c>
      <c r="F53" s="105">
        <f t="shared" si="2"/>
        <v>8500</v>
      </c>
      <c r="G53" s="100">
        <f t="shared" si="3"/>
        <v>3400</v>
      </c>
      <c r="H53" s="104">
        <f t="shared" si="4"/>
        <v>5100</v>
      </c>
    </row>
    <row r="54" ht="13.5" customHeight="1">
      <c r="A54" s="117" t="s">
        <v>44</v>
      </c>
      <c r="B54" s="106">
        <v>7.0</v>
      </c>
      <c r="C54" s="100">
        <v>200.0</v>
      </c>
      <c r="D54" s="24">
        <f t="shared" si="11"/>
        <v>400</v>
      </c>
      <c r="E54" s="23">
        <v>600.0</v>
      </c>
      <c r="F54" s="105">
        <f t="shared" si="2"/>
        <v>4200</v>
      </c>
      <c r="G54" s="100">
        <f t="shared" si="3"/>
        <v>1400</v>
      </c>
      <c r="H54" s="104">
        <f t="shared" si="4"/>
        <v>2800</v>
      </c>
    </row>
    <row r="55" ht="13.5" customHeight="1">
      <c r="A55" s="128" t="s">
        <v>86</v>
      </c>
      <c r="B55" s="27">
        <v>1.0</v>
      </c>
      <c r="C55" s="100">
        <v>50.0</v>
      </c>
      <c r="D55" s="44">
        <f t="shared" si="11"/>
        <v>0</v>
      </c>
      <c r="E55" s="23">
        <v>50.0</v>
      </c>
      <c r="F55" s="105">
        <f t="shared" si="2"/>
        <v>50</v>
      </c>
      <c r="G55" s="100">
        <f t="shared" si="3"/>
        <v>50</v>
      </c>
      <c r="H55" s="104">
        <f t="shared" si="4"/>
        <v>0</v>
      </c>
    </row>
    <row r="56" ht="13.5" customHeight="1">
      <c r="A56" s="129" t="s">
        <v>87</v>
      </c>
      <c r="B56" s="130">
        <v>13.0</v>
      </c>
      <c r="C56" s="131">
        <v>50.0</v>
      </c>
      <c r="D56" s="132">
        <v>0.0</v>
      </c>
      <c r="E56" s="133">
        <f>C56+D56</f>
        <v>50</v>
      </c>
      <c r="F56" s="130">
        <f t="shared" si="2"/>
        <v>650</v>
      </c>
      <c r="G56" s="131">
        <f t="shared" si="3"/>
        <v>650</v>
      </c>
      <c r="H56" s="134">
        <f t="shared" si="4"/>
        <v>0</v>
      </c>
    </row>
    <row r="57" ht="13.5" customHeight="1">
      <c r="A57" s="18"/>
      <c r="B57" s="135">
        <f>SUM(B4:B56)</f>
        <v>480</v>
      </c>
      <c r="C57" s="28"/>
      <c r="D57" s="28"/>
      <c r="E57" s="28"/>
      <c r="F57" s="136">
        <f t="shared" ref="F57:H57" si="12">SUM(F4:F56)</f>
        <v>164360</v>
      </c>
      <c r="G57" s="135">
        <f t="shared" si="12"/>
        <v>94770</v>
      </c>
      <c r="H57" s="137">
        <f t="shared" si="12"/>
        <v>69590</v>
      </c>
    </row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G1"/>
    <mergeCell ref="A2:D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4.5"/>
    <col customWidth="1" min="2" max="2" width="27.63"/>
    <col customWidth="1" min="3" max="6" width="10.13"/>
    <col customWidth="1" min="7" max="7" width="8.63"/>
    <col customWidth="1" min="8" max="9" width="11.13"/>
    <col customWidth="1" min="10" max="10" width="11.5"/>
    <col customWidth="1" min="11" max="11" width="11.13"/>
    <col customWidth="1" min="12" max="14" width="10.63"/>
    <col customWidth="1" min="15" max="15" width="8.13"/>
    <col customWidth="1" min="16" max="16" width="4.63"/>
    <col customWidth="1" min="17" max="17" width="8.63"/>
    <col customWidth="1" min="18" max="18" width="47.63"/>
    <col customWidth="1" min="19" max="26" width="8.63"/>
  </cols>
  <sheetData>
    <row r="1" ht="13.5" customHeight="1">
      <c r="B1" s="1" t="s">
        <v>0</v>
      </c>
    </row>
    <row r="2" ht="13.5" customHeight="1">
      <c r="B2" s="2" t="s">
        <v>97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4"/>
      <c r="R2" s="4"/>
    </row>
    <row r="3" ht="13.5" customHeight="1">
      <c r="B3" s="5" t="s">
        <v>2</v>
      </c>
      <c r="C3" s="6" t="s">
        <v>3</v>
      </c>
      <c r="D3" s="7" t="s">
        <v>4</v>
      </c>
      <c r="E3" s="7" t="s">
        <v>5</v>
      </c>
      <c r="F3" s="7" t="s">
        <v>6</v>
      </c>
      <c r="G3" s="8" t="s">
        <v>7</v>
      </c>
      <c r="H3" s="7" t="s">
        <v>8</v>
      </c>
      <c r="I3" s="7" t="s">
        <v>9</v>
      </c>
      <c r="J3" s="9" t="s">
        <v>10</v>
      </c>
      <c r="K3" s="7" t="s">
        <v>11</v>
      </c>
      <c r="L3" s="10" t="s">
        <v>12</v>
      </c>
      <c r="M3" s="10" t="s">
        <v>13</v>
      </c>
      <c r="N3" s="10" t="s">
        <v>14</v>
      </c>
      <c r="O3" s="11" t="s">
        <v>15</v>
      </c>
    </row>
    <row r="4" ht="13.5" customHeight="1">
      <c r="B4" s="12" t="s">
        <v>16</v>
      </c>
      <c r="C4" s="13">
        <v>12.0</v>
      </c>
      <c r="D4" s="14">
        <v>50.0</v>
      </c>
      <c r="E4" s="14">
        <v>0.0</v>
      </c>
      <c r="F4" s="14">
        <f t="shared" ref="F4:F37" si="1">G4-E4-D4</f>
        <v>50</v>
      </c>
      <c r="G4" s="15">
        <v>100.0</v>
      </c>
      <c r="H4" s="13">
        <f t="shared" ref="H4:H37" si="2">D4*C4</f>
        <v>600</v>
      </c>
      <c r="I4" s="14">
        <f t="shared" ref="I4:I37" si="3">C4*E4</f>
        <v>0</v>
      </c>
      <c r="J4" s="16">
        <f t="shared" ref="J4:J37" si="4">C4*G4</f>
        <v>1200</v>
      </c>
      <c r="K4" s="14">
        <f t="shared" ref="K4:K37" si="5">F4*C4</f>
        <v>600</v>
      </c>
      <c r="L4" s="15">
        <v>0.0</v>
      </c>
      <c r="M4" s="15">
        <f t="shared" ref="M4:M37" si="6">L4+K4</f>
        <v>600</v>
      </c>
      <c r="N4" s="15">
        <v>0.0</v>
      </c>
      <c r="O4" s="17">
        <f t="shared" ref="O4:O37" si="7">M4-N4</f>
        <v>600</v>
      </c>
      <c r="P4" s="18"/>
    </row>
    <row r="5" ht="13.5" customHeight="1">
      <c r="B5" s="19" t="s">
        <v>17</v>
      </c>
      <c r="C5" s="20">
        <v>6.0</v>
      </c>
      <c r="D5" s="21">
        <v>50.0</v>
      </c>
      <c r="E5" s="21">
        <v>50.0</v>
      </c>
      <c r="F5" s="21">
        <f t="shared" si="1"/>
        <v>50</v>
      </c>
      <c r="G5" s="22">
        <v>150.0</v>
      </c>
      <c r="H5" s="20">
        <f t="shared" si="2"/>
        <v>300</v>
      </c>
      <c r="I5" s="21">
        <f t="shared" si="3"/>
        <v>300</v>
      </c>
      <c r="J5" s="23">
        <f t="shared" si="4"/>
        <v>900</v>
      </c>
      <c r="K5" s="21">
        <f t="shared" si="5"/>
        <v>300</v>
      </c>
      <c r="L5" s="22">
        <v>0.0</v>
      </c>
      <c r="M5" s="22">
        <f t="shared" si="6"/>
        <v>300</v>
      </c>
      <c r="N5" s="22">
        <v>300.0</v>
      </c>
      <c r="O5" s="24">
        <f t="shared" si="7"/>
        <v>0</v>
      </c>
      <c r="P5" s="18"/>
    </row>
    <row r="6" ht="13.5" customHeight="1">
      <c r="B6" s="25" t="s">
        <v>18</v>
      </c>
      <c r="C6" s="20">
        <v>6.0</v>
      </c>
      <c r="D6" s="21">
        <v>50.0</v>
      </c>
      <c r="E6" s="21">
        <v>50.0</v>
      </c>
      <c r="F6" s="21">
        <f t="shared" si="1"/>
        <v>100</v>
      </c>
      <c r="G6" s="22">
        <v>200.0</v>
      </c>
      <c r="H6" s="20">
        <f t="shared" si="2"/>
        <v>300</v>
      </c>
      <c r="I6" s="21">
        <f t="shared" si="3"/>
        <v>300</v>
      </c>
      <c r="J6" s="23">
        <f t="shared" si="4"/>
        <v>1200</v>
      </c>
      <c r="K6" s="21">
        <f t="shared" si="5"/>
        <v>600</v>
      </c>
      <c r="L6" s="22">
        <v>0.0</v>
      </c>
      <c r="M6" s="22">
        <f t="shared" si="6"/>
        <v>600</v>
      </c>
      <c r="N6" s="22">
        <v>600.0</v>
      </c>
      <c r="O6" s="24">
        <f t="shared" si="7"/>
        <v>0</v>
      </c>
      <c r="P6" s="18"/>
    </row>
    <row r="7" ht="13.5" customHeight="1">
      <c r="B7" s="19" t="s">
        <v>19</v>
      </c>
      <c r="C7" s="20">
        <v>10.0</v>
      </c>
      <c r="D7" s="21">
        <v>30.0</v>
      </c>
      <c r="E7" s="21">
        <v>0.0</v>
      </c>
      <c r="F7" s="21">
        <f t="shared" si="1"/>
        <v>0</v>
      </c>
      <c r="G7" s="22">
        <v>30.0</v>
      </c>
      <c r="H7" s="20">
        <f t="shared" si="2"/>
        <v>300</v>
      </c>
      <c r="I7" s="21">
        <f t="shared" si="3"/>
        <v>0</v>
      </c>
      <c r="J7" s="23">
        <f t="shared" si="4"/>
        <v>300</v>
      </c>
      <c r="K7" s="21">
        <f t="shared" si="5"/>
        <v>0</v>
      </c>
      <c r="L7" s="22">
        <v>0.0</v>
      </c>
      <c r="M7" s="22">
        <f t="shared" si="6"/>
        <v>0</v>
      </c>
      <c r="N7" s="22">
        <v>0.0</v>
      </c>
      <c r="O7" s="24">
        <f t="shared" si="7"/>
        <v>0</v>
      </c>
      <c r="P7" s="18"/>
    </row>
    <row r="8" ht="13.5" customHeight="1">
      <c r="B8" s="26" t="s">
        <v>20</v>
      </c>
      <c r="C8" s="20">
        <v>4.0</v>
      </c>
      <c r="D8" s="21">
        <v>30.0</v>
      </c>
      <c r="E8" s="21">
        <v>0.0</v>
      </c>
      <c r="F8" s="21">
        <f t="shared" si="1"/>
        <v>0</v>
      </c>
      <c r="G8" s="22">
        <v>30.0</v>
      </c>
      <c r="H8" s="20">
        <f t="shared" si="2"/>
        <v>120</v>
      </c>
      <c r="I8" s="21">
        <f t="shared" si="3"/>
        <v>0</v>
      </c>
      <c r="J8" s="23">
        <f t="shared" si="4"/>
        <v>120</v>
      </c>
      <c r="K8" s="21">
        <f t="shared" si="5"/>
        <v>0</v>
      </c>
      <c r="L8" s="22">
        <v>0.0</v>
      </c>
      <c r="M8" s="22">
        <f t="shared" si="6"/>
        <v>0</v>
      </c>
      <c r="N8" s="22">
        <v>0.0</v>
      </c>
      <c r="O8" s="24">
        <f t="shared" si="7"/>
        <v>0</v>
      </c>
      <c r="P8" s="18"/>
    </row>
    <row r="9" ht="13.5" customHeight="1">
      <c r="B9" s="19" t="s">
        <v>21</v>
      </c>
      <c r="C9" s="20">
        <v>7.0</v>
      </c>
      <c r="D9" s="21">
        <v>50.0</v>
      </c>
      <c r="E9" s="21">
        <v>50.0</v>
      </c>
      <c r="F9" s="21">
        <f t="shared" si="1"/>
        <v>100</v>
      </c>
      <c r="G9" s="22">
        <v>200.0</v>
      </c>
      <c r="H9" s="20">
        <f t="shared" si="2"/>
        <v>350</v>
      </c>
      <c r="I9" s="21">
        <f t="shared" si="3"/>
        <v>350</v>
      </c>
      <c r="J9" s="23">
        <f t="shared" si="4"/>
        <v>1400</v>
      </c>
      <c r="K9" s="21">
        <f t="shared" si="5"/>
        <v>700</v>
      </c>
      <c r="L9" s="22">
        <v>0.0</v>
      </c>
      <c r="M9" s="22">
        <f t="shared" si="6"/>
        <v>700</v>
      </c>
      <c r="N9" s="22">
        <v>700.0</v>
      </c>
      <c r="O9" s="24">
        <f t="shared" si="7"/>
        <v>0</v>
      </c>
    </row>
    <row r="10" ht="13.5" customHeight="1">
      <c r="B10" s="19" t="s">
        <v>22</v>
      </c>
      <c r="C10" s="27">
        <v>11.0</v>
      </c>
      <c r="D10" s="21">
        <v>50.0</v>
      </c>
      <c r="E10" s="21">
        <v>50.0</v>
      </c>
      <c r="F10" s="21">
        <f t="shared" si="1"/>
        <v>200</v>
      </c>
      <c r="G10" s="22">
        <v>300.0</v>
      </c>
      <c r="H10" s="20">
        <f t="shared" si="2"/>
        <v>550</v>
      </c>
      <c r="I10" s="21">
        <f t="shared" si="3"/>
        <v>550</v>
      </c>
      <c r="J10" s="23">
        <f t="shared" si="4"/>
        <v>3300</v>
      </c>
      <c r="K10" s="21">
        <f t="shared" si="5"/>
        <v>2200</v>
      </c>
      <c r="L10" s="22">
        <v>2400.0</v>
      </c>
      <c r="M10" s="22">
        <f t="shared" si="6"/>
        <v>4600</v>
      </c>
      <c r="N10" s="22">
        <v>3863.0</v>
      </c>
      <c r="O10" s="24">
        <f t="shared" si="7"/>
        <v>737</v>
      </c>
      <c r="Q10" s="28"/>
    </row>
    <row r="11" ht="13.5" customHeight="1">
      <c r="B11" s="19" t="s">
        <v>23</v>
      </c>
      <c r="C11" s="20">
        <v>3.0</v>
      </c>
      <c r="D11" s="21">
        <v>50.0</v>
      </c>
      <c r="E11" s="21">
        <v>50.0</v>
      </c>
      <c r="F11" s="21">
        <f t="shared" si="1"/>
        <v>150</v>
      </c>
      <c r="G11" s="22">
        <v>250.0</v>
      </c>
      <c r="H11" s="20">
        <f t="shared" si="2"/>
        <v>150</v>
      </c>
      <c r="I11" s="21">
        <f t="shared" si="3"/>
        <v>150</v>
      </c>
      <c r="J11" s="23">
        <f t="shared" si="4"/>
        <v>750</v>
      </c>
      <c r="K11" s="21">
        <f t="shared" si="5"/>
        <v>450</v>
      </c>
      <c r="L11" s="22">
        <v>1200.0</v>
      </c>
      <c r="M11" s="22">
        <f t="shared" si="6"/>
        <v>1650</v>
      </c>
      <c r="N11" s="22">
        <v>1439.0</v>
      </c>
      <c r="O11" s="24">
        <f t="shared" si="7"/>
        <v>211</v>
      </c>
      <c r="Q11" s="28"/>
    </row>
    <row r="12" ht="13.5" customHeight="1">
      <c r="B12" s="29" t="s">
        <v>24</v>
      </c>
      <c r="C12" s="20">
        <v>4.0</v>
      </c>
      <c r="D12" s="21">
        <v>50.0</v>
      </c>
      <c r="E12" s="21">
        <v>50.0</v>
      </c>
      <c r="F12" s="21">
        <f t="shared" si="1"/>
        <v>200</v>
      </c>
      <c r="G12" s="22">
        <v>300.0</v>
      </c>
      <c r="H12" s="20">
        <f t="shared" si="2"/>
        <v>200</v>
      </c>
      <c r="I12" s="21">
        <f t="shared" si="3"/>
        <v>200</v>
      </c>
      <c r="J12" s="23">
        <f t="shared" si="4"/>
        <v>1200</v>
      </c>
      <c r="K12" s="21">
        <f t="shared" si="5"/>
        <v>800</v>
      </c>
      <c r="L12" s="22">
        <v>2000.0</v>
      </c>
      <c r="M12" s="22">
        <f t="shared" si="6"/>
        <v>2800</v>
      </c>
      <c r="N12" s="22">
        <v>2532.0</v>
      </c>
      <c r="O12" s="24">
        <f t="shared" si="7"/>
        <v>268</v>
      </c>
    </row>
    <row r="13" ht="13.5" customHeight="1">
      <c r="B13" s="19" t="s">
        <v>16</v>
      </c>
      <c r="C13" s="20">
        <v>9.0</v>
      </c>
      <c r="D13" s="21">
        <v>50.0</v>
      </c>
      <c r="E13" s="21">
        <v>0.0</v>
      </c>
      <c r="F13" s="21">
        <f t="shared" si="1"/>
        <v>50</v>
      </c>
      <c r="G13" s="22">
        <v>100.0</v>
      </c>
      <c r="H13" s="20">
        <f t="shared" si="2"/>
        <v>450</v>
      </c>
      <c r="I13" s="21">
        <f t="shared" si="3"/>
        <v>0</v>
      </c>
      <c r="J13" s="23">
        <f t="shared" si="4"/>
        <v>900</v>
      </c>
      <c r="K13" s="21">
        <f t="shared" si="5"/>
        <v>450</v>
      </c>
      <c r="L13" s="22">
        <v>0.0</v>
      </c>
      <c r="M13" s="22">
        <f t="shared" si="6"/>
        <v>450</v>
      </c>
      <c r="N13" s="22">
        <v>0.0</v>
      </c>
      <c r="O13" s="24">
        <f t="shared" si="7"/>
        <v>450</v>
      </c>
    </row>
    <row r="14" ht="13.5" customHeight="1">
      <c r="B14" s="19" t="s">
        <v>30</v>
      </c>
      <c r="C14" s="20">
        <v>11.0</v>
      </c>
      <c r="D14" s="21">
        <v>50.0</v>
      </c>
      <c r="E14" s="21">
        <v>50.0</v>
      </c>
      <c r="F14" s="21">
        <f t="shared" si="1"/>
        <v>100</v>
      </c>
      <c r="G14" s="22">
        <v>200.0</v>
      </c>
      <c r="H14" s="20">
        <f t="shared" si="2"/>
        <v>550</v>
      </c>
      <c r="I14" s="21">
        <f t="shared" si="3"/>
        <v>550</v>
      </c>
      <c r="J14" s="23">
        <f t="shared" si="4"/>
        <v>2200</v>
      </c>
      <c r="K14" s="21">
        <f t="shared" si="5"/>
        <v>1100</v>
      </c>
      <c r="L14" s="22">
        <v>0.0</v>
      </c>
      <c r="M14" s="22">
        <f t="shared" si="6"/>
        <v>1100</v>
      </c>
      <c r="N14" s="22">
        <v>1100.0</v>
      </c>
      <c r="O14" s="24">
        <f t="shared" si="7"/>
        <v>0</v>
      </c>
    </row>
    <row r="15" ht="13.5" customHeight="1">
      <c r="B15" s="30" t="s">
        <v>31</v>
      </c>
      <c r="C15" s="31">
        <v>7.0</v>
      </c>
      <c r="D15" s="32">
        <v>50.0</v>
      </c>
      <c r="E15" s="32">
        <v>50.0</v>
      </c>
      <c r="F15" s="32">
        <f t="shared" si="1"/>
        <v>100</v>
      </c>
      <c r="G15" s="33">
        <v>200.0</v>
      </c>
      <c r="H15" s="31">
        <f t="shared" si="2"/>
        <v>350</v>
      </c>
      <c r="I15" s="32">
        <f t="shared" si="3"/>
        <v>350</v>
      </c>
      <c r="J15" s="34">
        <f t="shared" si="4"/>
        <v>1400</v>
      </c>
      <c r="K15" s="32">
        <f t="shared" si="5"/>
        <v>700</v>
      </c>
      <c r="L15" s="33">
        <v>0.0</v>
      </c>
      <c r="M15" s="33">
        <f t="shared" si="6"/>
        <v>700</v>
      </c>
      <c r="N15" s="33">
        <v>700.0</v>
      </c>
      <c r="O15" s="35">
        <f t="shared" si="7"/>
        <v>0</v>
      </c>
    </row>
    <row r="16" ht="13.5" customHeight="1">
      <c r="B16" s="19" t="s">
        <v>25</v>
      </c>
      <c r="C16" s="20">
        <v>7.0</v>
      </c>
      <c r="D16" s="21">
        <v>50.0</v>
      </c>
      <c r="E16" s="21">
        <v>50.0</v>
      </c>
      <c r="F16" s="21">
        <f t="shared" si="1"/>
        <v>200</v>
      </c>
      <c r="G16" s="22">
        <v>300.0</v>
      </c>
      <c r="H16" s="20">
        <f t="shared" si="2"/>
        <v>350</v>
      </c>
      <c r="I16" s="21">
        <f t="shared" si="3"/>
        <v>350</v>
      </c>
      <c r="J16" s="23">
        <f t="shared" si="4"/>
        <v>2100</v>
      </c>
      <c r="K16" s="21">
        <f t="shared" si="5"/>
        <v>1400</v>
      </c>
      <c r="L16" s="22">
        <v>2000.0</v>
      </c>
      <c r="M16" s="22">
        <f t="shared" si="6"/>
        <v>3400</v>
      </c>
      <c r="N16" s="22">
        <v>2931.0</v>
      </c>
      <c r="O16" s="24">
        <f t="shared" si="7"/>
        <v>469</v>
      </c>
    </row>
    <row r="17" ht="13.5" customHeight="1">
      <c r="B17" s="19" t="s">
        <v>26</v>
      </c>
      <c r="C17" s="20">
        <v>8.0</v>
      </c>
      <c r="D17" s="21">
        <v>50.0</v>
      </c>
      <c r="E17" s="21">
        <v>50.0</v>
      </c>
      <c r="F17" s="21">
        <f t="shared" si="1"/>
        <v>150</v>
      </c>
      <c r="G17" s="22">
        <v>250.0</v>
      </c>
      <c r="H17" s="20">
        <f t="shared" si="2"/>
        <v>400</v>
      </c>
      <c r="I17" s="21">
        <f t="shared" si="3"/>
        <v>400</v>
      </c>
      <c r="J17" s="23">
        <f t="shared" si="4"/>
        <v>2000</v>
      </c>
      <c r="K17" s="21">
        <f t="shared" si="5"/>
        <v>1200</v>
      </c>
      <c r="L17" s="22">
        <v>1200.0</v>
      </c>
      <c r="M17" s="22">
        <f t="shared" si="6"/>
        <v>2400</v>
      </c>
      <c r="N17" s="22">
        <v>1838.0</v>
      </c>
      <c r="O17" s="24">
        <f t="shared" si="7"/>
        <v>562</v>
      </c>
    </row>
    <row r="18" ht="13.5" customHeight="1">
      <c r="B18" s="19" t="s">
        <v>27</v>
      </c>
      <c r="C18" s="20">
        <v>3.0</v>
      </c>
      <c r="D18" s="21">
        <v>50.0</v>
      </c>
      <c r="E18" s="21">
        <v>50.0</v>
      </c>
      <c r="F18" s="21">
        <f t="shared" si="1"/>
        <v>150</v>
      </c>
      <c r="G18" s="22">
        <v>250.0</v>
      </c>
      <c r="H18" s="20">
        <f t="shared" si="2"/>
        <v>150</v>
      </c>
      <c r="I18" s="21">
        <f t="shared" si="3"/>
        <v>150</v>
      </c>
      <c r="J18" s="23">
        <f t="shared" si="4"/>
        <v>750</v>
      </c>
      <c r="K18" s="21">
        <f t="shared" si="5"/>
        <v>450</v>
      </c>
      <c r="L18" s="22">
        <v>1600.0</v>
      </c>
      <c r="M18" s="22">
        <f t="shared" si="6"/>
        <v>2050</v>
      </c>
      <c r="N18" s="22">
        <v>1919.0</v>
      </c>
      <c r="O18" s="24">
        <f t="shared" si="7"/>
        <v>131</v>
      </c>
    </row>
    <row r="19" ht="13.5" customHeight="1">
      <c r="B19" s="19" t="s">
        <v>28</v>
      </c>
      <c r="C19" s="20">
        <v>4.0</v>
      </c>
      <c r="D19" s="21">
        <v>30.0</v>
      </c>
      <c r="E19" s="21">
        <v>0.0</v>
      </c>
      <c r="F19" s="21">
        <f t="shared" si="1"/>
        <v>0</v>
      </c>
      <c r="G19" s="22">
        <v>30.0</v>
      </c>
      <c r="H19" s="20">
        <f t="shared" si="2"/>
        <v>120</v>
      </c>
      <c r="I19" s="21">
        <f t="shared" si="3"/>
        <v>0</v>
      </c>
      <c r="J19" s="23">
        <f t="shared" si="4"/>
        <v>120</v>
      </c>
      <c r="K19" s="21">
        <f t="shared" si="5"/>
        <v>0</v>
      </c>
      <c r="L19" s="22">
        <v>0.0</v>
      </c>
      <c r="M19" s="22">
        <f t="shared" si="6"/>
        <v>0</v>
      </c>
      <c r="N19" s="22">
        <v>0.0</v>
      </c>
      <c r="O19" s="24">
        <f t="shared" si="7"/>
        <v>0</v>
      </c>
    </row>
    <row r="20" ht="13.5" customHeight="1">
      <c r="B20" s="19" t="s">
        <v>29</v>
      </c>
      <c r="C20" s="20">
        <v>2.0</v>
      </c>
      <c r="D20" s="21">
        <v>30.0</v>
      </c>
      <c r="E20" s="21">
        <v>0.0</v>
      </c>
      <c r="F20" s="21">
        <f t="shared" si="1"/>
        <v>0</v>
      </c>
      <c r="G20" s="22">
        <v>30.0</v>
      </c>
      <c r="H20" s="20">
        <f t="shared" si="2"/>
        <v>60</v>
      </c>
      <c r="I20" s="21">
        <f t="shared" si="3"/>
        <v>0</v>
      </c>
      <c r="J20" s="23">
        <f t="shared" si="4"/>
        <v>60</v>
      </c>
      <c r="K20" s="21">
        <f t="shared" si="5"/>
        <v>0</v>
      </c>
      <c r="L20" s="22">
        <v>0.0</v>
      </c>
      <c r="M20" s="22">
        <f t="shared" si="6"/>
        <v>0</v>
      </c>
      <c r="N20" s="22">
        <v>0.0</v>
      </c>
      <c r="O20" s="24">
        <f t="shared" si="7"/>
        <v>0</v>
      </c>
    </row>
    <row r="21" ht="13.5" customHeight="1">
      <c r="B21" s="36" t="s">
        <v>16</v>
      </c>
      <c r="C21" s="13">
        <v>9.0</v>
      </c>
      <c r="D21" s="14">
        <v>50.0</v>
      </c>
      <c r="E21" s="14">
        <v>0.0</v>
      </c>
      <c r="F21" s="14">
        <f t="shared" si="1"/>
        <v>50</v>
      </c>
      <c r="G21" s="15">
        <v>100.0</v>
      </c>
      <c r="H21" s="13">
        <f t="shared" si="2"/>
        <v>450</v>
      </c>
      <c r="I21" s="14">
        <f t="shared" si="3"/>
        <v>0</v>
      </c>
      <c r="J21" s="16">
        <f t="shared" si="4"/>
        <v>900</v>
      </c>
      <c r="K21" s="14">
        <f t="shared" si="5"/>
        <v>450</v>
      </c>
      <c r="L21" s="14">
        <v>0.0</v>
      </c>
      <c r="M21" s="15">
        <f t="shared" si="6"/>
        <v>450</v>
      </c>
      <c r="N21" s="15">
        <v>0.0</v>
      </c>
      <c r="O21" s="17">
        <f t="shared" si="7"/>
        <v>450</v>
      </c>
    </row>
    <row r="22" ht="13.5" customHeight="1">
      <c r="B22" s="37" t="s">
        <v>32</v>
      </c>
      <c r="C22" s="20">
        <v>5.0</v>
      </c>
      <c r="D22" s="21">
        <v>50.0</v>
      </c>
      <c r="E22" s="21">
        <v>50.0</v>
      </c>
      <c r="F22" s="21">
        <f t="shared" si="1"/>
        <v>100</v>
      </c>
      <c r="G22" s="22">
        <v>200.0</v>
      </c>
      <c r="H22" s="20">
        <f t="shared" si="2"/>
        <v>250</v>
      </c>
      <c r="I22" s="21">
        <f t="shared" si="3"/>
        <v>250</v>
      </c>
      <c r="J22" s="23">
        <f t="shared" si="4"/>
        <v>1000</v>
      </c>
      <c r="K22" s="21">
        <f t="shared" si="5"/>
        <v>500</v>
      </c>
      <c r="L22" s="21">
        <v>0.0</v>
      </c>
      <c r="M22" s="22">
        <f t="shared" si="6"/>
        <v>500</v>
      </c>
      <c r="N22" s="22">
        <v>500.0</v>
      </c>
      <c r="O22" s="24">
        <f t="shared" si="7"/>
        <v>0</v>
      </c>
    </row>
    <row r="23" ht="13.5" customHeight="1">
      <c r="B23" s="37" t="s">
        <v>17</v>
      </c>
      <c r="C23" s="20">
        <v>6.0</v>
      </c>
      <c r="D23" s="21">
        <v>50.0</v>
      </c>
      <c r="E23" s="21">
        <v>50.0</v>
      </c>
      <c r="F23" s="21">
        <f t="shared" si="1"/>
        <v>50</v>
      </c>
      <c r="G23" s="22">
        <v>150.0</v>
      </c>
      <c r="H23" s="20">
        <f t="shared" si="2"/>
        <v>300</v>
      </c>
      <c r="I23" s="21">
        <f t="shared" si="3"/>
        <v>300</v>
      </c>
      <c r="J23" s="23">
        <f t="shared" si="4"/>
        <v>900</v>
      </c>
      <c r="K23" s="21">
        <f t="shared" si="5"/>
        <v>300</v>
      </c>
      <c r="L23" s="21">
        <v>0.0</v>
      </c>
      <c r="M23" s="22">
        <f t="shared" si="6"/>
        <v>300</v>
      </c>
      <c r="N23" s="22">
        <v>300.0</v>
      </c>
      <c r="O23" s="24">
        <f t="shared" si="7"/>
        <v>0</v>
      </c>
    </row>
    <row r="24" ht="13.5" customHeight="1">
      <c r="B24" s="37" t="s">
        <v>19</v>
      </c>
      <c r="C24" s="20">
        <v>6.0</v>
      </c>
      <c r="D24" s="21">
        <v>30.0</v>
      </c>
      <c r="E24" s="21">
        <v>0.0</v>
      </c>
      <c r="F24" s="21">
        <f t="shared" si="1"/>
        <v>0</v>
      </c>
      <c r="G24" s="22">
        <v>30.0</v>
      </c>
      <c r="H24" s="20">
        <f t="shared" si="2"/>
        <v>180</v>
      </c>
      <c r="I24" s="21">
        <f t="shared" si="3"/>
        <v>0</v>
      </c>
      <c r="J24" s="23">
        <f t="shared" si="4"/>
        <v>180</v>
      </c>
      <c r="K24" s="21">
        <f t="shared" si="5"/>
        <v>0</v>
      </c>
      <c r="L24" s="21">
        <v>0.0</v>
      </c>
      <c r="M24" s="22">
        <f t="shared" si="6"/>
        <v>0</v>
      </c>
      <c r="N24" s="22">
        <v>0.0</v>
      </c>
      <c r="O24" s="24">
        <f t="shared" si="7"/>
        <v>0</v>
      </c>
    </row>
    <row r="25" ht="13.5" customHeight="1">
      <c r="B25" s="37" t="s">
        <v>33</v>
      </c>
      <c r="C25" s="20">
        <v>6.0</v>
      </c>
      <c r="D25" s="21">
        <v>50.0</v>
      </c>
      <c r="E25" s="21">
        <v>50.0</v>
      </c>
      <c r="F25" s="21">
        <f t="shared" si="1"/>
        <v>100</v>
      </c>
      <c r="G25" s="22">
        <v>200.0</v>
      </c>
      <c r="H25" s="20">
        <f t="shared" si="2"/>
        <v>300</v>
      </c>
      <c r="I25" s="21">
        <f t="shared" si="3"/>
        <v>300</v>
      </c>
      <c r="J25" s="23">
        <f t="shared" si="4"/>
        <v>1200</v>
      </c>
      <c r="K25" s="21">
        <f t="shared" si="5"/>
        <v>600</v>
      </c>
      <c r="L25" s="21">
        <v>0.0</v>
      </c>
      <c r="M25" s="22">
        <f t="shared" si="6"/>
        <v>600</v>
      </c>
      <c r="N25" s="22">
        <v>600.0</v>
      </c>
      <c r="O25" s="24">
        <f t="shared" si="7"/>
        <v>0</v>
      </c>
    </row>
    <row r="26" ht="13.5" customHeight="1">
      <c r="B26" s="38" t="s">
        <v>34</v>
      </c>
      <c r="C26" s="20">
        <v>3.0</v>
      </c>
      <c r="D26" s="21">
        <v>30.0</v>
      </c>
      <c r="E26" s="21">
        <v>0.0</v>
      </c>
      <c r="F26" s="21">
        <f t="shared" si="1"/>
        <v>0</v>
      </c>
      <c r="G26" s="22">
        <v>30.0</v>
      </c>
      <c r="H26" s="20">
        <f t="shared" si="2"/>
        <v>90</v>
      </c>
      <c r="I26" s="21">
        <f t="shared" si="3"/>
        <v>0</v>
      </c>
      <c r="J26" s="23">
        <f t="shared" si="4"/>
        <v>90</v>
      </c>
      <c r="K26" s="21">
        <f t="shared" si="5"/>
        <v>0</v>
      </c>
      <c r="L26" s="21">
        <v>0.0</v>
      </c>
      <c r="M26" s="22">
        <f t="shared" si="6"/>
        <v>0</v>
      </c>
      <c r="N26" s="22">
        <v>0.0</v>
      </c>
      <c r="O26" s="24">
        <f t="shared" si="7"/>
        <v>0</v>
      </c>
    </row>
    <row r="27" ht="13.5" customHeight="1">
      <c r="B27" s="37" t="s">
        <v>35</v>
      </c>
      <c r="C27" s="20">
        <v>5.0</v>
      </c>
      <c r="D27" s="21">
        <v>50.0</v>
      </c>
      <c r="E27" s="21">
        <v>50.0</v>
      </c>
      <c r="F27" s="21">
        <f t="shared" si="1"/>
        <v>100</v>
      </c>
      <c r="G27" s="22">
        <v>200.0</v>
      </c>
      <c r="H27" s="20">
        <f t="shared" si="2"/>
        <v>250</v>
      </c>
      <c r="I27" s="21">
        <f t="shared" si="3"/>
        <v>250</v>
      </c>
      <c r="J27" s="23">
        <f t="shared" si="4"/>
        <v>1000</v>
      </c>
      <c r="K27" s="21">
        <f t="shared" si="5"/>
        <v>500</v>
      </c>
      <c r="L27" s="21">
        <v>0.0</v>
      </c>
      <c r="M27" s="22">
        <f t="shared" si="6"/>
        <v>500</v>
      </c>
      <c r="N27" s="22">
        <v>500.0</v>
      </c>
      <c r="O27" s="24">
        <f t="shared" si="7"/>
        <v>0</v>
      </c>
    </row>
    <row r="28" ht="13.5" customHeight="1">
      <c r="B28" s="37" t="s">
        <v>36</v>
      </c>
      <c r="C28" s="27">
        <v>6.0</v>
      </c>
      <c r="D28" s="21">
        <v>50.0</v>
      </c>
      <c r="E28" s="21">
        <v>50.0</v>
      </c>
      <c r="F28" s="21">
        <f t="shared" si="1"/>
        <v>500</v>
      </c>
      <c r="G28" s="22">
        <v>600.0</v>
      </c>
      <c r="H28" s="20">
        <f t="shared" si="2"/>
        <v>300</v>
      </c>
      <c r="I28" s="21">
        <f t="shared" si="3"/>
        <v>300</v>
      </c>
      <c r="J28" s="23">
        <f t="shared" si="4"/>
        <v>3600</v>
      </c>
      <c r="K28" s="21">
        <f t="shared" si="5"/>
        <v>3000</v>
      </c>
      <c r="L28" s="21">
        <v>2400.0</v>
      </c>
      <c r="M28" s="22">
        <f t="shared" si="6"/>
        <v>5400</v>
      </c>
      <c r="N28" s="149">
        <v>3198.0</v>
      </c>
      <c r="O28" s="24">
        <f t="shared" si="7"/>
        <v>2202</v>
      </c>
    </row>
    <row r="29" ht="13.5" customHeight="1">
      <c r="B29" s="37" t="s">
        <v>37</v>
      </c>
      <c r="C29" s="27">
        <v>3.0</v>
      </c>
      <c r="D29" s="21">
        <v>50.0</v>
      </c>
      <c r="E29" s="21">
        <v>50.0</v>
      </c>
      <c r="F29" s="21">
        <f t="shared" si="1"/>
        <v>200</v>
      </c>
      <c r="G29" s="22">
        <v>300.0</v>
      </c>
      <c r="H29" s="20">
        <f t="shared" si="2"/>
        <v>150</v>
      </c>
      <c r="I29" s="21">
        <f t="shared" si="3"/>
        <v>150</v>
      </c>
      <c r="J29" s="23">
        <f t="shared" si="4"/>
        <v>900</v>
      </c>
      <c r="K29" s="21">
        <f t="shared" si="5"/>
        <v>600</v>
      </c>
      <c r="L29" s="21">
        <v>1200.0</v>
      </c>
      <c r="M29" s="22">
        <f t="shared" si="6"/>
        <v>1800</v>
      </c>
      <c r="N29" s="22">
        <v>1439.0</v>
      </c>
      <c r="O29" s="24">
        <f t="shared" si="7"/>
        <v>361</v>
      </c>
    </row>
    <row r="30" ht="13.5" customHeight="1">
      <c r="B30" s="38" t="s">
        <v>38</v>
      </c>
      <c r="C30" s="20">
        <v>6.0</v>
      </c>
      <c r="D30" s="21">
        <v>50.0</v>
      </c>
      <c r="E30" s="21">
        <v>50.0</v>
      </c>
      <c r="F30" s="21">
        <f t="shared" si="1"/>
        <v>300</v>
      </c>
      <c r="G30" s="22">
        <v>400.0</v>
      </c>
      <c r="H30" s="20">
        <f t="shared" si="2"/>
        <v>300</v>
      </c>
      <c r="I30" s="21">
        <f t="shared" si="3"/>
        <v>300</v>
      </c>
      <c r="J30" s="23">
        <f t="shared" si="4"/>
        <v>2400</v>
      </c>
      <c r="K30" s="21">
        <f t="shared" si="5"/>
        <v>1800</v>
      </c>
      <c r="L30" s="21">
        <v>2000.0</v>
      </c>
      <c r="M30" s="22">
        <f t="shared" si="6"/>
        <v>3800</v>
      </c>
      <c r="N30" s="22">
        <v>2798.0</v>
      </c>
      <c r="O30" s="24">
        <f t="shared" si="7"/>
        <v>1002</v>
      </c>
    </row>
    <row r="31" ht="13.5" customHeight="1">
      <c r="B31" s="37" t="s">
        <v>16</v>
      </c>
      <c r="C31" s="20">
        <v>0.0</v>
      </c>
      <c r="D31" s="21">
        <v>50.0</v>
      </c>
      <c r="E31" s="21">
        <v>0.0</v>
      </c>
      <c r="F31" s="21">
        <f t="shared" si="1"/>
        <v>50</v>
      </c>
      <c r="G31" s="22">
        <v>100.0</v>
      </c>
      <c r="H31" s="20">
        <f t="shared" si="2"/>
        <v>0</v>
      </c>
      <c r="I31" s="21">
        <f t="shared" si="3"/>
        <v>0</v>
      </c>
      <c r="J31" s="23">
        <f t="shared" si="4"/>
        <v>0</v>
      </c>
      <c r="K31" s="21">
        <f t="shared" si="5"/>
        <v>0</v>
      </c>
      <c r="L31" s="21">
        <v>0.0</v>
      </c>
      <c r="M31" s="22">
        <f t="shared" si="6"/>
        <v>0</v>
      </c>
      <c r="N31" s="22">
        <v>0.0</v>
      </c>
      <c r="O31" s="24">
        <f t="shared" si="7"/>
        <v>0</v>
      </c>
    </row>
    <row r="32" ht="13.5" customHeight="1">
      <c r="B32" s="37" t="s">
        <v>39</v>
      </c>
      <c r="C32" s="20">
        <v>5.0</v>
      </c>
      <c r="D32" s="21">
        <v>50.0</v>
      </c>
      <c r="E32" s="21">
        <v>50.0</v>
      </c>
      <c r="F32" s="21">
        <f t="shared" si="1"/>
        <v>100</v>
      </c>
      <c r="G32" s="22">
        <v>200.0</v>
      </c>
      <c r="H32" s="20">
        <f t="shared" si="2"/>
        <v>250</v>
      </c>
      <c r="I32" s="21">
        <f t="shared" si="3"/>
        <v>250</v>
      </c>
      <c r="J32" s="23">
        <f t="shared" si="4"/>
        <v>1000</v>
      </c>
      <c r="K32" s="21">
        <f t="shared" si="5"/>
        <v>500</v>
      </c>
      <c r="L32" s="21">
        <v>0.0</v>
      </c>
      <c r="M32" s="22">
        <f t="shared" si="6"/>
        <v>500</v>
      </c>
      <c r="N32" s="22">
        <v>500.0</v>
      </c>
      <c r="O32" s="24">
        <f t="shared" si="7"/>
        <v>0</v>
      </c>
    </row>
    <row r="33" ht="13.5" customHeight="1">
      <c r="B33" s="37" t="s">
        <v>40</v>
      </c>
      <c r="C33" s="20">
        <v>7.0</v>
      </c>
      <c r="D33" s="21">
        <v>30.0</v>
      </c>
      <c r="E33" s="21">
        <v>0.0</v>
      </c>
      <c r="F33" s="21">
        <f t="shared" si="1"/>
        <v>0</v>
      </c>
      <c r="G33" s="22">
        <v>30.0</v>
      </c>
      <c r="H33" s="20">
        <f t="shared" si="2"/>
        <v>210</v>
      </c>
      <c r="I33" s="21">
        <f t="shared" si="3"/>
        <v>0</v>
      </c>
      <c r="J33" s="23">
        <f t="shared" si="4"/>
        <v>210</v>
      </c>
      <c r="K33" s="21">
        <f t="shared" si="5"/>
        <v>0</v>
      </c>
      <c r="L33" s="21">
        <v>0.0</v>
      </c>
      <c r="M33" s="22">
        <f t="shared" si="6"/>
        <v>0</v>
      </c>
      <c r="N33" s="22">
        <v>0.0</v>
      </c>
      <c r="O33" s="24">
        <f t="shared" si="7"/>
        <v>0</v>
      </c>
    </row>
    <row r="34" ht="13.5" customHeight="1">
      <c r="B34" s="37" t="s">
        <v>41</v>
      </c>
      <c r="C34" s="20">
        <v>7.0</v>
      </c>
      <c r="D34" s="21">
        <v>30.0</v>
      </c>
      <c r="E34" s="21">
        <v>0.0</v>
      </c>
      <c r="F34" s="21">
        <f t="shared" si="1"/>
        <v>0</v>
      </c>
      <c r="G34" s="22">
        <v>30.0</v>
      </c>
      <c r="H34" s="20">
        <f t="shared" si="2"/>
        <v>210</v>
      </c>
      <c r="I34" s="21">
        <f t="shared" si="3"/>
        <v>0</v>
      </c>
      <c r="J34" s="23">
        <f t="shared" si="4"/>
        <v>210</v>
      </c>
      <c r="K34" s="21">
        <f t="shared" si="5"/>
        <v>0</v>
      </c>
      <c r="L34" s="21">
        <v>0.0</v>
      </c>
      <c r="M34" s="22">
        <f t="shared" si="6"/>
        <v>0</v>
      </c>
      <c r="N34" s="22">
        <v>0.0</v>
      </c>
      <c r="O34" s="24">
        <f t="shared" si="7"/>
        <v>0</v>
      </c>
    </row>
    <row r="35" ht="13.5" customHeight="1">
      <c r="B35" s="37" t="s">
        <v>42</v>
      </c>
      <c r="C35" s="20">
        <v>3.0</v>
      </c>
      <c r="D35" s="21">
        <v>50.0</v>
      </c>
      <c r="E35" s="21">
        <v>50.0</v>
      </c>
      <c r="F35" s="21">
        <f t="shared" si="1"/>
        <v>400</v>
      </c>
      <c r="G35" s="22">
        <v>500.0</v>
      </c>
      <c r="H35" s="20">
        <f t="shared" si="2"/>
        <v>150</v>
      </c>
      <c r="I35" s="21">
        <f t="shared" si="3"/>
        <v>150</v>
      </c>
      <c r="J35" s="23">
        <f t="shared" si="4"/>
        <v>1500</v>
      </c>
      <c r="K35" s="21">
        <f t="shared" si="5"/>
        <v>1200</v>
      </c>
      <c r="L35" s="21">
        <v>2000.0</v>
      </c>
      <c r="M35" s="22">
        <f t="shared" si="6"/>
        <v>3200</v>
      </c>
      <c r="N35" s="22">
        <v>2931.0</v>
      </c>
      <c r="O35" s="24">
        <f t="shared" si="7"/>
        <v>269</v>
      </c>
    </row>
    <row r="36" ht="13.5" customHeight="1">
      <c r="B36" s="37" t="s">
        <v>43</v>
      </c>
      <c r="C36" s="20">
        <v>3.0</v>
      </c>
      <c r="D36" s="21">
        <v>50.0</v>
      </c>
      <c r="E36" s="21">
        <v>50.0</v>
      </c>
      <c r="F36" s="21">
        <f t="shared" si="1"/>
        <v>200</v>
      </c>
      <c r="G36" s="22">
        <v>300.0</v>
      </c>
      <c r="H36" s="20">
        <f t="shared" si="2"/>
        <v>150</v>
      </c>
      <c r="I36" s="21">
        <f t="shared" si="3"/>
        <v>150</v>
      </c>
      <c r="J36" s="23">
        <f t="shared" si="4"/>
        <v>900</v>
      </c>
      <c r="K36" s="21">
        <f t="shared" si="5"/>
        <v>600</v>
      </c>
      <c r="L36" s="21">
        <v>1200.0</v>
      </c>
      <c r="M36" s="22">
        <f t="shared" si="6"/>
        <v>1800</v>
      </c>
      <c r="N36" s="22">
        <v>1758.0</v>
      </c>
      <c r="O36" s="24">
        <f t="shared" si="7"/>
        <v>42</v>
      </c>
    </row>
    <row r="37" ht="13.5" customHeight="1">
      <c r="B37" s="39" t="s">
        <v>44</v>
      </c>
      <c r="C37" s="40">
        <v>2.0</v>
      </c>
      <c r="D37" s="41">
        <v>50.0</v>
      </c>
      <c r="E37" s="41">
        <v>50.0</v>
      </c>
      <c r="F37" s="41">
        <f t="shared" si="1"/>
        <v>300</v>
      </c>
      <c r="G37" s="42">
        <v>400.0</v>
      </c>
      <c r="H37" s="40">
        <f t="shared" si="2"/>
        <v>100</v>
      </c>
      <c r="I37" s="41">
        <f t="shared" si="3"/>
        <v>100</v>
      </c>
      <c r="J37" s="43">
        <f t="shared" si="4"/>
        <v>800</v>
      </c>
      <c r="K37" s="41">
        <f t="shared" si="5"/>
        <v>600</v>
      </c>
      <c r="L37" s="41">
        <v>1600.0</v>
      </c>
      <c r="M37" s="42">
        <f t="shared" si="6"/>
        <v>2200</v>
      </c>
      <c r="N37" s="42">
        <v>1919.0</v>
      </c>
      <c r="O37" s="44">
        <f t="shared" si="7"/>
        <v>281</v>
      </c>
    </row>
    <row r="38" ht="13.5" customHeight="1">
      <c r="H38" s="45">
        <f t="shared" ref="H38:O38" si="8">SUM(H4:H37)</f>
        <v>8940</v>
      </c>
      <c r="I38" s="45">
        <f t="shared" si="8"/>
        <v>6150</v>
      </c>
      <c r="J38" s="46">
        <f t="shared" si="8"/>
        <v>36690</v>
      </c>
      <c r="K38" s="45">
        <f t="shared" si="8"/>
        <v>21600</v>
      </c>
      <c r="L38" s="45">
        <f t="shared" si="8"/>
        <v>20800</v>
      </c>
      <c r="M38" s="45">
        <f t="shared" si="8"/>
        <v>42400</v>
      </c>
      <c r="N38" s="45">
        <f t="shared" si="8"/>
        <v>34365</v>
      </c>
      <c r="O38" s="47">
        <f t="shared" si="8"/>
        <v>8035</v>
      </c>
    </row>
    <row r="39" ht="13.5" customHeight="1"/>
    <row r="40" ht="13.5" customHeight="1"/>
    <row r="41" ht="13.5" customHeight="1">
      <c r="B41" s="48" t="s">
        <v>45</v>
      </c>
      <c r="C41" s="28">
        <f>SUM(C4:C37)-C4-C13-C21-C31</f>
        <v>166</v>
      </c>
    </row>
    <row r="42" ht="13.5" customHeight="1">
      <c r="B42" s="49" t="s">
        <v>46</v>
      </c>
      <c r="C42" s="28">
        <f>34550+300+500</f>
        <v>35350</v>
      </c>
      <c r="P42" s="28"/>
    </row>
    <row r="43" ht="13.5" customHeight="1">
      <c r="B43" s="49" t="s">
        <v>89</v>
      </c>
      <c r="C43" s="28">
        <v>300.0</v>
      </c>
      <c r="P43" s="28"/>
    </row>
    <row r="44" ht="13.5" customHeight="1">
      <c r="B44" s="49" t="s">
        <v>48</v>
      </c>
      <c r="C44" s="28">
        <f>-100-30-150</f>
        <v>-280</v>
      </c>
    </row>
    <row r="45" ht="13.5" customHeight="1">
      <c r="B45" s="52" t="s">
        <v>49</v>
      </c>
      <c r="C45" s="46">
        <f>C42+C43+C44</f>
        <v>35370</v>
      </c>
    </row>
    <row r="46" ht="13.5" customHeight="1">
      <c r="C46" s="28"/>
    </row>
    <row r="47" ht="13.5" customHeight="1">
      <c r="B47" s="52" t="s">
        <v>50</v>
      </c>
      <c r="C47" s="46">
        <f>I38</f>
        <v>6150</v>
      </c>
    </row>
    <row r="48" ht="13.5" customHeight="1">
      <c r="B48" s="52" t="s">
        <v>51</v>
      </c>
      <c r="C48" s="46">
        <f>H38</f>
        <v>8940</v>
      </c>
    </row>
    <row r="49" ht="13.5" customHeight="1">
      <c r="B49" s="52" t="s">
        <v>52</v>
      </c>
      <c r="C49" s="46">
        <f>K38</f>
        <v>21600</v>
      </c>
    </row>
    <row r="50" ht="13.5" customHeight="1">
      <c r="C50" s="28"/>
    </row>
    <row r="51" ht="13.5" customHeight="1">
      <c r="B51" s="53" t="s">
        <v>98</v>
      </c>
      <c r="C51" s="54">
        <f>SUM(L4:L20)</f>
        <v>10400</v>
      </c>
    </row>
    <row r="52" ht="13.5" customHeight="1">
      <c r="B52" s="55" t="s">
        <v>99</v>
      </c>
      <c r="C52" s="56">
        <f>SUM(L21:L37)</f>
        <v>10400</v>
      </c>
    </row>
    <row r="53" ht="13.5" customHeight="1">
      <c r="A53" s="57"/>
      <c r="B53" s="49" t="s">
        <v>55</v>
      </c>
      <c r="C53" s="58">
        <f>C52+C51+C49</f>
        <v>42400</v>
      </c>
    </row>
    <row r="54" ht="13.5" customHeight="1">
      <c r="A54" s="59"/>
    </row>
    <row r="55" ht="13.5" customHeight="1">
      <c r="A55" s="60"/>
      <c r="B55" s="61" t="s">
        <v>56</v>
      </c>
      <c r="C55" s="61">
        <f>C47*70%</f>
        <v>4305</v>
      </c>
    </row>
    <row r="56" ht="13.5" customHeight="1">
      <c r="A56" s="60"/>
      <c r="C56" s="62"/>
    </row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B1:O1"/>
    <mergeCell ref="B2:O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30.63"/>
    <col customWidth="1" min="2" max="26" width="8.63"/>
  </cols>
  <sheetData>
    <row r="1" ht="13.5" customHeight="1">
      <c r="A1" s="63" t="s">
        <v>97</v>
      </c>
    </row>
    <row r="2" ht="13.5" customHeight="1">
      <c r="A2" s="64" t="s">
        <v>100</v>
      </c>
      <c r="B2" s="65"/>
      <c r="C2" s="65"/>
      <c r="D2" s="66"/>
    </row>
    <row r="3" ht="13.5" customHeight="1">
      <c r="A3" s="67"/>
      <c r="B3" s="68" t="s">
        <v>3</v>
      </c>
      <c r="C3" s="69" t="s">
        <v>59</v>
      </c>
      <c r="D3" s="69" t="s">
        <v>7</v>
      </c>
      <c r="E3" s="69" t="s">
        <v>60</v>
      </c>
      <c r="F3" s="69" t="s">
        <v>61</v>
      </c>
      <c r="G3" s="69" t="s">
        <v>62</v>
      </c>
      <c r="H3" s="70" t="s">
        <v>63</v>
      </c>
    </row>
    <row r="4" ht="13.5" customHeight="1">
      <c r="A4" s="71" t="s">
        <v>101</v>
      </c>
      <c r="B4" s="72">
        <v>1.0</v>
      </c>
      <c r="C4" s="73">
        <v>170.0</v>
      </c>
      <c r="D4" s="74">
        <v>0.0</v>
      </c>
      <c r="E4" s="75">
        <f t="shared" ref="E4:E7" si="1">C4+D4</f>
        <v>170</v>
      </c>
      <c r="F4" s="76">
        <f t="shared" ref="F4:F55" si="2">E4*B4</f>
        <v>170</v>
      </c>
      <c r="G4" s="73">
        <f t="shared" ref="G4:G55" si="3">C4*B4</f>
        <v>170</v>
      </c>
      <c r="H4" s="77">
        <f t="shared" ref="H4:H55" si="4">D4*B4</f>
        <v>0</v>
      </c>
    </row>
    <row r="5" ht="13.5" customHeight="1">
      <c r="A5" s="78" t="s">
        <v>65</v>
      </c>
      <c r="B5" s="79">
        <v>29.0</v>
      </c>
      <c r="C5" s="80">
        <v>240.0</v>
      </c>
      <c r="D5" s="81">
        <v>0.0</v>
      </c>
      <c r="E5" s="82">
        <f t="shared" si="1"/>
        <v>240</v>
      </c>
      <c r="F5" s="83">
        <f t="shared" si="2"/>
        <v>6960</v>
      </c>
      <c r="G5" s="80">
        <f t="shared" si="3"/>
        <v>6960</v>
      </c>
      <c r="H5" s="84">
        <f t="shared" si="4"/>
        <v>0</v>
      </c>
    </row>
    <row r="6" ht="13.5" customHeight="1">
      <c r="A6" s="78" t="s">
        <v>67</v>
      </c>
      <c r="B6" s="79">
        <v>1.0</v>
      </c>
      <c r="C6" s="80">
        <v>240.0</v>
      </c>
      <c r="D6" s="81">
        <v>0.0</v>
      </c>
      <c r="E6" s="82">
        <f t="shared" si="1"/>
        <v>240</v>
      </c>
      <c r="F6" s="83">
        <f t="shared" si="2"/>
        <v>240</v>
      </c>
      <c r="G6" s="80">
        <f t="shared" si="3"/>
        <v>240</v>
      </c>
      <c r="H6" s="84">
        <f t="shared" si="4"/>
        <v>0</v>
      </c>
    </row>
    <row r="7" ht="13.5" customHeight="1">
      <c r="A7" s="85" t="s">
        <v>66</v>
      </c>
      <c r="B7" s="86">
        <v>3.0</v>
      </c>
      <c r="C7" s="87">
        <v>170.0</v>
      </c>
      <c r="D7" s="88">
        <v>0.0</v>
      </c>
      <c r="E7" s="89">
        <f t="shared" si="1"/>
        <v>170</v>
      </c>
      <c r="F7" s="90">
        <f t="shared" si="2"/>
        <v>510</v>
      </c>
      <c r="G7" s="91">
        <f t="shared" si="3"/>
        <v>510</v>
      </c>
      <c r="H7" s="92">
        <f t="shared" si="4"/>
        <v>0</v>
      </c>
    </row>
    <row r="8" ht="13.5" customHeight="1">
      <c r="A8" s="93" t="s">
        <v>16</v>
      </c>
      <c r="B8" s="13">
        <v>12.0</v>
      </c>
      <c r="C8" s="94">
        <v>200.0</v>
      </c>
      <c r="D8" s="17">
        <f t="shared" ref="D8:D16" si="5">E8-C8</f>
        <v>100</v>
      </c>
      <c r="E8" s="138">
        <v>300.0</v>
      </c>
      <c r="F8" s="139">
        <f t="shared" si="2"/>
        <v>3600</v>
      </c>
      <c r="G8" s="94">
        <f t="shared" si="3"/>
        <v>2400</v>
      </c>
      <c r="H8" s="140">
        <f t="shared" si="4"/>
        <v>1200</v>
      </c>
    </row>
    <row r="9" ht="13.5" customHeight="1">
      <c r="A9" s="101" t="s">
        <v>17</v>
      </c>
      <c r="B9" s="20">
        <v>6.0</v>
      </c>
      <c r="C9" s="100">
        <v>150.0</v>
      </c>
      <c r="D9" s="24">
        <f t="shared" si="5"/>
        <v>150</v>
      </c>
      <c r="E9" s="95">
        <v>300.0</v>
      </c>
      <c r="F9" s="96">
        <f t="shared" si="2"/>
        <v>1800</v>
      </c>
      <c r="G9" s="97">
        <f t="shared" si="3"/>
        <v>900</v>
      </c>
      <c r="H9" s="98">
        <f t="shared" si="4"/>
        <v>900</v>
      </c>
    </row>
    <row r="10" ht="13.5" customHeight="1">
      <c r="A10" s="99" t="s">
        <v>18</v>
      </c>
      <c r="B10" s="20">
        <v>6.0</v>
      </c>
      <c r="C10" s="100">
        <v>200.0</v>
      </c>
      <c r="D10" s="24">
        <f t="shared" si="5"/>
        <v>200</v>
      </c>
      <c r="E10" s="95">
        <v>400.0</v>
      </c>
      <c r="F10" s="96">
        <f t="shared" si="2"/>
        <v>2400</v>
      </c>
      <c r="G10" s="97">
        <f t="shared" si="3"/>
        <v>1200</v>
      </c>
      <c r="H10" s="98">
        <f t="shared" si="4"/>
        <v>1200</v>
      </c>
    </row>
    <row r="11" ht="13.5" customHeight="1">
      <c r="A11" s="101" t="s">
        <v>19</v>
      </c>
      <c r="B11" s="20">
        <v>10.0</v>
      </c>
      <c r="C11" s="100">
        <v>170.0</v>
      </c>
      <c r="D11" s="24">
        <f t="shared" si="5"/>
        <v>30</v>
      </c>
      <c r="E11" s="95">
        <v>200.0</v>
      </c>
      <c r="F11" s="96">
        <f t="shared" si="2"/>
        <v>2000</v>
      </c>
      <c r="G11" s="97">
        <f t="shared" si="3"/>
        <v>1700</v>
      </c>
      <c r="H11" s="98">
        <f t="shared" si="4"/>
        <v>300</v>
      </c>
    </row>
    <row r="12" ht="13.5" customHeight="1">
      <c r="A12" s="102" t="s">
        <v>20</v>
      </c>
      <c r="B12" s="20">
        <v>4.0</v>
      </c>
      <c r="C12" s="100">
        <v>170.0</v>
      </c>
      <c r="D12" s="24">
        <f t="shared" si="5"/>
        <v>30</v>
      </c>
      <c r="E12" s="95">
        <v>200.0</v>
      </c>
      <c r="F12" s="96">
        <f t="shared" si="2"/>
        <v>800</v>
      </c>
      <c r="G12" s="97">
        <f t="shared" si="3"/>
        <v>680</v>
      </c>
      <c r="H12" s="98">
        <f t="shared" si="4"/>
        <v>120</v>
      </c>
    </row>
    <row r="13" ht="13.5" customHeight="1">
      <c r="A13" s="101" t="s">
        <v>21</v>
      </c>
      <c r="B13" s="20">
        <v>7.0</v>
      </c>
      <c r="C13" s="100">
        <v>200.0</v>
      </c>
      <c r="D13" s="24">
        <f t="shared" si="5"/>
        <v>200</v>
      </c>
      <c r="E13" s="95">
        <v>400.0</v>
      </c>
      <c r="F13" s="106">
        <f t="shared" si="2"/>
        <v>2800</v>
      </c>
      <c r="G13" s="100">
        <f t="shared" si="3"/>
        <v>1400</v>
      </c>
      <c r="H13" s="104">
        <f t="shared" si="4"/>
        <v>1400</v>
      </c>
    </row>
    <row r="14" ht="13.5" customHeight="1">
      <c r="A14" s="107" t="s">
        <v>22</v>
      </c>
      <c r="B14" s="27">
        <v>11.0</v>
      </c>
      <c r="C14" s="100">
        <v>200.0</v>
      </c>
      <c r="D14" s="24">
        <f t="shared" si="5"/>
        <v>300</v>
      </c>
      <c r="E14" s="95">
        <v>500.0</v>
      </c>
      <c r="F14" s="96">
        <f t="shared" si="2"/>
        <v>5500</v>
      </c>
      <c r="G14" s="97">
        <f t="shared" si="3"/>
        <v>2200</v>
      </c>
      <c r="H14" s="98">
        <f t="shared" si="4"/>
        <v>3300</v>
      </c>
    </row>
    <row r="15" ht="13.5" customHeight="1">
      <c r="A15" s="108" t="s">
        <v>23</v>
      </c>
      <c r="B15" s="27">
        <v>3.0</v>
      </c>
      <c r="C15" s="100">
        <v>200.0</v>
      </c>
      <c r="D15" s="24">
        <f t="shared" si="5"/>
        <v>250</v>
      </c>
      <c r="E15" s="95">
        <v>450.0</v>
      </c>
      <c r="F15" s="105">
        <f t="shared" si="2"/>
        <v>1350</v>
      </c>
      <c r="G15" s="100">
        <f t="shared" si="3"/>
        <v>600</v>
      </c>
      <c r="H15" s="104">
        <f t="shared" si="4"/>
        <v>750</v>
      </c>
    </row>
    <row r="16" ht="13.5" customHeight="1">
      <c r="A16" s="141" t="s">
        <v>24</v>
      </c>
      <c r="B16" s="110">
        <v>4.0</v>
      </c>
      <c r="C16" s="111">
        <v>200.0</v>
      </c>
      <c r="D16" s="44">
        <f t="shared" si="5"/>
        <v>300</v>
      </c>
      <c r="E16" s="142">
        <v>500.0</v>
      </c>
      <c r="F16" s="143">
        <f t="shared" si="2"/>
        <v>2000</v>
      </c>
      <c r="G16" s="111">
        <f t="shared" si="3"/>
        <v>800</v>
      </c>
      <c r="H16" s="144">
        <f t="shared" si="4"/>
        <v>1200</v>
      </c>
    </row>
    <row r="17" ht="13.5" customHeight="1">
      <c r="A17" s="71" t="s">
        <v>71</v>
      </c>
      <c r="B17" s="112">
        <v>0.0</v>
      </c>
      <c r="C17" s="113">
        <v>170.0</v>
      </c>
      <c r="D17" s="114">
        <v>0.0</v>
      </c>
      <c r="E17" s="146">
        <f t="shared" ref="E17:E20" si="6">C17+D17</f>
        <v>170</v>
      </c>
      <c r="F17" s="147">
        <f t="shared" si="2"/>
        <v>0</v>
      </c>
      <c r="G17" s="113">
        <f t="shared" si="3"/>
        <v>0</v>
      </c>
      <c r="H17" s="148">
        <f t="shared" si="4"/>
        <v>0</v>
      </c>
    </row>
    <row r="18" ht="13.5" customHeight="1">
      <c r="A18" s="78" t="s">
        <v>72</v>
      </c>
      <c r="B18" s="79">
        <v>2.0</v>
      </c>
      <c r="C18" s="80">
        <v>240.0</v>
      </c>
      <c r="D18" s="81">
        <v>0.0</v>
      </c>
      <c r="E18" s="82">
        <f t="shared" si="6"/>
        <v>240</v>
      </c>
      <c r="F18" s="83">
        <f t="shared" si="2"/>
        <v>480</v>
      </c>
      <c r="G18" s="80">
        <f t="shared" si="3"/>
        <v>480</v>
      </c>
      <c r="H18" s="84">
        <f t="shared" si="4"/>
        <v>0</v>
      </c>
    </row>
    <row r="19" ht="13.5" customHeight="1">
      <c r="A19" s="78" t="s">
        <v>73</v>
      </c>
      <c r="B19" s="79">
        <v>1.0</v>
      </c>
      <c r="C19" s="80">
        <v>240.0</v>
      </c>
      <c r="D19" s="81">
        <v>0.0</v>
      </c>
      <c r="E19" s="82">
        <f t="shared" si="6"/>
        <v>240</v>
      </c>
      <c r="F19" s="83">
        <f t="shared" si="2"/>
        <v>240</v>
      </c>
      <c r="G19" s="80">
        <f t="shared" si="3"/>
        <v>240</v>
      </c>
      <c r="H19" s="84">
        <f t="shared" si="4"/>
        <v>0</v>
      </c>
    </row>
    <row r="20" ht="13.5" customHeight="1">
      <c r="A20" s="85" t="s">
        <v>74</v>
      </c>
      <c r="B20" s="115">
        <v>0.0</v>
      </c>
      <c r="C20" s="91">
        <v>170.0</v>
      </c>
      <c r="D20" s="116">
        <v>0.0</v>
      </c>
      <c r="E20" s="89">
        <f t="shared" si="6"/>
        <v>170</v>
      </c>
      <c r="F20" s="90">
        <f t="shared" si="2"/>
        <v>0</v>
      </c>
      <c r="G20" s="91">
        <f t="shared" si="3"/>
        <v>0</v>
      </c>
      <c r="H20" s="92">
        <f t="shared" si="4"/>
        <v>0</v>
      </c>
    </row>
    <row r="21" ht="13.5" customHeight="1">
      <c r="A21" s="117" t="s">
        <v>16</v>
      </c>
      <c r="B21" s="106">
        <v>9.0</v>
      </c>
      <c r="C21" s="100">
        <v>200.0</v>
      </c>
      <c r="D21" s="24">
        <f t="shared" ref="D21:D28" si="7">E21-C21</f>
        <v>100</v>
      </c>
      <c r="E21" s="23">
        <v>300.0</v>
      </c>
      <c r="F21" s="96">
        <f t="shared" si="2"/>
        <v>2700</v>
      </c>
      <c r="G21" s="97">
        <f t="shared" si="3"/>
        <v>1800</v>
      </c>
      <c r="H21" s="98">
        <f t="shared" si="4"/>
        <v>900</v>
      </c>
    </row>
    <row r="22" ht="13.5" customHeight="1">
      <c r="A22" s="120" t="s">
        <v>30</v>
      </c>
      <c r="B22" s="106">
        <v>11.0</v>
      </c>
      <c r="C22" s="100">
        <v>200.0</v>
      </c>
      <c r="D22" s="24">
        <f t="shared" si="7"/>
        <v>200</v>
      </c>
      <c r="E22" s="23">
        <v>400.0</v>
      </c>
      <c r="F22" s="96">
        <f t="shared" si="2"/>
        <v>4400</v>
      </c>
      <c r="G22" s="97">
        <f t="shared" si="3"/>
        <v>2200</v>
      </c>
      <c r="H22" s="98">
        <f t="shared" si="4"/>
        <v>2200</v>
      </c>
    </row>
    <row r="23" ht="13.5" customHeight="1">
      <c r="A23" s="120" t="s">
        <v>31</v>
      </c>
      <c r="B23" s="106">
        <v>7.0</v>
      </c>
      <c r="C23" s="100">
        <v>200.0</v>
      </c>
      <c r="D23" s="24">
        <f t="shared" si="7"/>
        <v>200</v>
      </c>
      <c r="E23" s="23">
        <v>400.0</v>
      </c>
      <c r="F23" s="96">
        <f t="shared" si="2"/>
        <v>2800</v>
      </c>
      <c r="G23" s="97">
        <f t="shared" si="3"/>
        <v>1400</v>
      </c>
      <c r="H23" s="98">
        <f t="shared" si="4"/>
        <v>1400</v>
      </c>
    </row>
    <row r="24" ht="13.5" customHeight="1">
      <c r="A24" s="120" t="s">
        <v>25</v>
      </c>
      <c r="B24" s="106">
        <v>7.0</v>
      </c>
      <c r="C24" s="100">
        <v>200.0</v>
      </c>
      <c r="D24" s="24">
        <f t="shared" si="7"/>
        <v>300</v>
      </c>
      <c r="E24" s="23">
        <v>500.0</v>
      </c>
      <c r="F24" s="96">
        <f t="shared" si="2"/>
        <v>3500</v>
      </c>
      <c r="G24" s="97">
        <f t="shared" si="3"/>
        <v>1400</v>
      </c>
      <c r="H24" s="98">
        <f t="shared" si="4"/>
        <v>2100</v>
      </c>
    </row>
    <row r="25" ht="13.5" customHeight="1">
      <c r="A25" s="120" t="s">
        <v>26</v>
      </c>
      <c r="B25" s="106">
        <v>8.0</v>
      </c>
      <c r="C25" s="100">
        <v>200.0</v>
      </c>
      <c r="D25" s="24">
        <f t="shared" si="7"/>
        <v>250</v>
      </c>
      <c r="E25" s="23">
        <v>450.0</v>
      </c>
      <c r="F25" s="96">
        <f t="shared" si="2"/>
        <v>3600</v>
      </c>
      <c r="G25" s="97">
        <f t="shared" si="3"/>
        <v>1600</v>
      </c>
      <c r="H25" s="98">
        <f t="shared" si="4"/>
        <v>2000</v>
      </c>
    </row>
    <row r="26" ht="13.5" customHeight="1">
      <c r="A26" s="120" t="s">
        <v>27</v>
      </c>
      <c r="B26" s="106">
        <v>3.0</v>
      </c>
      <c r="C26" s="100">
        <v>200.0</v>
      </c>
      <c r="D26" s="24">
        <f t="shared" si="7"/>
        <v>250</v>
      </c>
      <c r="E26" s="23">
        <v>450.0</v>
      </c>
      <c r="F26" s="96">
        <f t="shared" si="2"/>
        <v>1350</v>
      </c>
      <c r="G26" s="97">
        <f t="shared" si="3"/>
        <v>600</v>
      </c>
      <c r="H26" s="98">
        <f t="shared" si="4"/>
        <v>750</v>
      </c>
    </row>
    <row r="27" ht="13.5" customHeight="1">
      <c r="A27" s="120" t="s">
        <v>28</v>
      </c>
      <c r="B27" s="106">
        <v>4.0</v>
      </c>
      <c r="C27" s="100">
        <v>170.0</v>
      </c>
      <c r="D27" s="24">
        <f t="shared" si="7"/>
        <v>30</v>
      </c>
      <c r="E27" s="23">
        <v>200.0</v>
      </c>
      <c r="F27" s="96">
        <f t="shared" si="2"/>
        <v>800</v>
      </c>
      <c r="G27" s="97">
        <f t="shared" si="3"/>
        <v>680</v>
      </c>
      <c r="H27" s="98">
        <f t="shared" si="4"/>
        <v>120</v>
      </c>
    </row>
    <row r="28" ht="13.5" customHeight="1">
      <c r="A28" s="150" t="s">
        <v>29</v>
      </c>
      <c r="B28" s="106">
        <v>2.0</v>
      </c>
      <c r="C28" s="100">
        <v>170.0</v>
      </c>
      <c r="D28" s="44">
        <f t="shared" si="7"/>
        <v>30</v>
      </c>
      <c r="E28" s="23">
        <v>200.0</v>
      </c>
      <c r="F28" s="96">
        <f t="shared" si="2"/>
        <v>400</v>
      </c>
      <c r="G28" s="97">
        <f t="shared" si="3"/>
        <v>340</v>
      </c>
      <c r="H28" s="98">
        <f t="shared" si="4"/>
        <v>60</v>
      </c>
    </row>
    <row r="29" ht="13.5" customHeight="1">
      <c r="A29" s="124" t="s">
        <v>78</v>
      </c>
      <c r="B29" s="76">
        <v>2.0</v>
      </c>
      <c r="C29" s="73">
        <v>170.0</v>
      </c>
      <c r="D29" s="74">
        <v>0.0</v>
      </c>
      <c r="E29" s="75">
        <f t="shared" ref="E29:E32" si="8">C29+D29</f>
        <v>170</v>
      </c>
      <c r="F29" s="76">
        <f t="shared" si="2"/>
        <v>340</v>
      </c>
      <c r="G29" s="73">
        <f t="shared" si="3"/>
        <v>340</v>
      </c>
      <c r="H29" s="77">
        <f t="shared" si="4"/>
        <v>0</v>
      </c>
    </row>
    <row r="30" ht="13.5" customHeight="1">
      <c r="A30" s="125" t="s">
        <v>79</v>
      </c>
      <c r="B30" s="83">
        <v>6.0</v>
      </c>
      <c r="C30" s="80">
        <v>240.0</v>
      </c>
      <c r="D30" s="81">
        <v>0.0</v>
      </c>
      <c r="E30" s="82">
        <f t="shared" si="8"/>
        <v>240</v>
      </c>
      <c r="F30" s="83">
        <f t="shared" si="2"/>
        <v>1440</v>
      </c>
      <c r="G30" s="80">
        <f t="shared" si="3"/>
        <v>1440</v>
      </c>
      <c r="H30" s="84">
        <f t="shared" si="4"/>
        <v>0</v>
      </c>
    </row>
    <row r="31" ht="13.5" customHeight="1">
      <c r="A31" s="125" t="s">
        <v>80</v>
      </c>
      <c r="B31" s="83">
        <v>0.0</v>
      </c>
      <c r="C31" s="80">
        <v>240.0</v>
      </c>
      <c r="D31" s="81">
        <v>0.0</v>
      </c>
      <c r="E31" s="82">
        <f t="shared" si="8"/>
        <v>240</v>
      </c>
      <c r="F31" s="83">
        <f t="shared" si="2"/>
        <v>0</v>
      </c>
      <c r="G31" s="80">
        <f t="shared" si="3"/>
        <v>0</v>
      </c>
      <c r="H31" s="84">
        <f t="shared" si="4"/>
        <v>0</v>
      </c>
    </row>
    <row r="32" ht="13.5" customHeight="1">
      <c r="A32" s="126" t="s">
        <v>81</v>
      </c>
      <c r="B32" s="90">
        <v>0.0</v>
      </c>
      <c r="C32" s="91">
        <v>170.0</v>
      </c>
      <c r="D32" s="116">
        <v>0.0</v>
      </c>
      <c r="E32" s="89">
        <f t="shared" si="8"/>
        <v>170</v>
      </c>
      <c r="F32" s="90">
        <f t="shared" si="2"/>
        <v>0</v>
      </c>
      <c r="G32" s="91">
        <f t="shared" si="3"/>
        <v>0</v>
      </c>
      <c r="H32" s="92">
        <f t="shared" si="4"/>
        <v>0</v>
      </c>
    </row>
    <row r="33" ht="13.5" customHeight="1">
      <c r="A33" s="117" t="s">
        <v>16</v>
      </c>
      <c r="B33" s="106">
        <v>9.0</v>
      </c>
      <c r="C33" s="100">
        <v>200.0</v>
      </c>
      <c r="D33" s="24">
        <f t="shared" ref="D33:D42" si="9">E33-C33</f>
        <v>100</v>
      </c>
      <c r="E33" s="23">
        <v>300.0</v>
      </c>
      <c r="F33" s="96">
        <f t="shared" si="2"/>
        <v>2700</v>
      </c>
      <c r="G33" s="97">
        <f t="shared" si="3"/>
        <v>1800</v>
      </c>
      <c r="H33" s="98">
        <f t="shared" si="4"/>
        <v>900</v>
      </c>
    </row>
    <row r="34" ht="13.5" customHeight="1">
      <c r="A34" s="120" t="s">
        <v>32</v>
      </c>
      <c r="B34" s="106">
        <v>5.0</v>
      </c>
      <c r="C34" s="100">
        <v>200.0</v>
      </c>
      <c r="D34" s="24">
        <f t="shared" si="9"/>
        <v>200</v>
      </c>
      <c r="E34" s="23">
        <v>400.0</v>
      </c>
      <c r="F34" s="106">
        <f t="shared" si="2"/>
        <v>2000</v>
      </c>
      <c r="G34" s="100">
        <f t="shared" si="3"/>
        <v>1000</v>
      </c>
      <c r="H34" s="104">
        <f t="shared" si="4"/>
        <v>1000</v>
      </c>
    </row>
    <row r="35" ht="13.5" customHeight="1">
      <c r="A35" s="117" t="s">
        <v>17</v>
      </c>
      <c r="B35" s="106">
        <v>6.0</v>
      </c>
      <c r="C35" s="100">
        <v>150.0</v>
      </c>
      <c r="D35" s="24">
        <f t="shared" si="9"/>
        <v>150</v>
      </c>
      <c r="E35" s="23">
        <v>300.0</v>
      </c>
      <c r="F35" s="96">
        <f t="shared" si="2"/>
        <v>1800</v>
      </c>
      <c r="G35" s="97">
        <f t="shared" si="3"/>
        <v>900</v>
      </c>
      <c r="H35" s="98">
        <f t="shared" si="4"/>
        <v>900</v>
      </c>
    </row>
    <row r="36" ht="13.5" customHeight="1">
      <c r="A36" s="117" t="s">
        <v>19</v>
      </c>
      <c r="B36" s="106">
        <v>6.0</v>
      </c>
      <c r="C36" s="100">
        <v>170.0</v>
      </c>
      <c r="D36" s="24">
        <f t="shared" si="9"/>
        <v>30</v>
      </c>
      <c r="E36" s="23">
        <v>200.0</v>
      </c>
      <c r="F36" s="96">
        <f t="shared" si="2"/>
        <v>1200</v>
      </c>
      <c r="G36" s="97">
        <f t="shared" si="3"/>
        <v>1020</v>
      </c>
      <c r="H36" s="98">
        <f t="shared" si="4"/>
        <v>180</v>
      </c>
    </row>
    <row r="37" ht="13.5" customHeight="1">
      <c r="A37" s="120" t="s">
        <v>33</v>
      </c>
      <c r="B37" s="106">
        <v>6.0</v>
      </c>
      <c r="C37" s="100">
        <v>200.0</v>
      </c>
      <c r="D37" s="24">
        <f t="shared" si="9"/>
        <v>200</v>
      </c>
      <c r="E37" s="23">
        <v>400.0</v>
      </c>
      <c r="F37" s="96">
        <f t="shared" si="2"/>
        <v>2400</v>
      </c>
      <c r="G37" s="97">
        <f t="shared" si="3"/>
        <v>1200</v>
      </c>
      <c r="H37" s="98">
        <f t="shared" si="4"/>
        <v>1200</v>
      </c>
    </row>
    <row r="38" ht="13.5" customHeight="1">
      <c r="A38" s="118" t="s">
        <v>34</v>
      </c>
      <c r="B38" s="106">
        <v>3.0</v>
      </c>
      <c r="C38" s="100">
        <v>170.0</v>
      </c>
      <c r="D38" s="24">
        <f t="shared" si="9"/>
        <v>30</v>
      </c>
      <c r="E38" s="23">
        <v>200.0</v>
      </c>
      <c r="F38" s="96">
        <f t="shared" si="2"/>
        <v>600</v>
      </c>
      <c r="G38" s="97">
        <f t="shared" si="3"/>
        <v>510</v>
      </c>
      <c r="H38" s="98">
        <f t="shared" si="4"/>
        <v>90</v>
      </c>
    </row>
    <row r="39" ht="13.5" customHeight="1">
      <c r="A39" s="120" t="s">
        <v>35</v>
      </c>
      <c r="B39" s="106">
        <v>5.0</v>
      </c>
      <c r="C39" s="100">
        <v>200.0</v>
      </c>
      <c r="D39" s="24">
        <f t="shared" si="9"/>
        <v>200</v>
      </c>
      <c r="E39" s="23">
        <v>400.0</v>
      </c>
      <c r="F39" s="96">
        <f t="shared" si="2"/>
        <v>2000</v>
      </c>
      <c r="G39" s="97">
        <f t="shared" si="3"/>
        <v>1000</v>
      </c>
      <c r="H39" s="98">
        <f t="shared" si="4"/>
        <v>1000</v>
      </c>
    </row>
    <row r="40" ht="13.5" customHeight="1">
      <c r="A40" s="107" t="s">
        <v>22</v>
      </c>
      <c r="B40" s="27">
        <v>6.0</v>
      </c>
      <c r="C40" s="100">
        <v>200.0</v>
      </c>
      <c r="D40" s="24">
        <f t="shared" si="9"/>
        <v>300</v>
      </c>
      <c r="E40" s="95">
        <v>500.0</v>
      </c>
      <c r="F40" s="96">
        <f t="shared" si="2"/>
        <v>3000</v>
      </c>
      <c r="G40" s="97">
        <f t="shared" si="3"/>
        <v>1200</v>
      </c>
      <c r="H40" s="98">
        <f t="shared" si="4"/>
        <v>1800</v>
      </c>
    </row>
    <row r="41" ht="13.5" customHeight="1">
      <c r="A41" s="108" t="s">
        <v>23</v>
      </c>
      <c r="B41" s="27">
        <v>3.0</v>
      </c>
      <c r="C41" s="100">
        <v>200.0</v>
      </c>
      <c r="D41" s="24">
        <f t="shared" si="9"/>
        <v>250</v>
      </c>
      <c r="E41" s="95">
        <v>450.0</v>
      </c>
      <c r="F41" s="96">
        <f t="shared" si="2"/>
        <v>1350</v>
      </c>
      <c r="G41" s="97">
        <f t="shared" si="3"/>
        <v>600</v>
      </c>
      <c r="H41" s="98">
        <f t="shared" si="4"/>
        <v>750</v>
      </c>
    </row>
    <row r="42" ht="13.5" customHeight="1">
      <c r="A42" s="141" t="s">
        <v>24</v>
      </c>
      <c r="B42" s="110">
        <v>6.0</v>
      </c>
      <c r="C42" s="111">
        <v>200.0</v>
      </c>
      <c r="D42" s="44">
        <f t="shared" si="9"/>
        <v>300</v>
      </c>
      <c r="E42" s="142">
        <v>500.0</v>
      </c>
      <c r="F42" s="96">
        <f t="shared" si="2"/>
        <v>3000</v>
      </c>
      <c r="G42" s="97">
        <f t="shared" si="3"/>
        <v>1200</v>
      </c>
      <c r="H42" s="98">
        <f t="shared" si="4"/>
        <v>1800</v>
      </c>
    </row>
    <row r="43" ht="13.5" customHeight="1">
      <c r="A43" s="124" t="s">
        <v>82</v>
      </c>
      <c r="B43" s="76">
        <v>0.0</v>
      </c>
      <c r="C43" s="73">
        <v>170.0</v>
      </c>
      <c r="D43" s="74">
        <v>0.0</v>
      </c>
      <c r="E43" s="75">
        <f t="shared" ref="E43:E46" si="10">C43+D43</f>
        <v>170</v>
      </c>
      <c r="F43" s="76">
        <f t="shared" si="2"/>
        <v>0</v>
      </c>
      <c r="G43" s="73">
        <f t="shared" si="3"/>
        <v>0</v>
      </c>
      <c r="H43" s="77">
        <f t="shared" si="4"/>
        <v>0</v>
      </c>
    </row>
    <row r="44" ht="13.5" customHeight="1">
      <c r="A44" s="125" t="s">
        <v>83</v>
      </c>
      <c r="B44" s="83">
        <v>2.0</v>
      </c>
      <c r="C44" s="80">
        <v>240.0</v>
      </c>
      <c r="D44" s="81">
        <v>0.0</v>
      </c>
      <c r="E44" s="82">
        <f t="shared" si="10"/>
        <v>240</v>
      </c>
      <c r="F44" s="83">
        <f t="shared" si="2"/>
        <v>480</v>
      </c>
      <c r="G44" s="80">
        <f t="shared" si="3"/>
        <v>480</v>
      </c>
      <c r="H44" s="84">
        <f t="shared" si="4"/>
        <v>0</v>
      </c>
    </row>
    <row r="45" ht="13.5" customHeight="1">
      <c r="A45" s="125" t="s">
        <v>84</v>
      </c>
      <c r="B45" s="83">
        <v>0.0</v>
      </c>
      <c r="C45" s="80">
        <v>240.0</v>
      </c>
      <c r="D45" s="81">
        <v>0.0</v>
      </c>
      <c r="E45" s="82">
        <f t="shared" si="10"/>
        <v>240</v>
      </c>
      <c r="F45" s="83">
        <f t="shared" si="2"/>
        <v>0</v>
      </c>
      <c r="G45" s="80">
        <f t="shared" si="3"/>
        <v>0</v>
      </c>
      <c r="H45" s="84">
        <f t="shared" si="4"/>
        <v>0</v>
      </c>
    </row>
    <row r="46" ht="13.5" customHeight="1">
      <c r="A46" s="151" t="s">
        <v>85</v>
      </c>
      <c r="B46" s="152">
        <v>0.0</v>
      </c>
      <c r="C46" s="87">
        <v>170.0</v>
      </c>
      <c r="D46" s="88">
        <v>0.0</v>
      </c>
      <c r="E46" s="153">
        <f t="shared" si="10"/>
        <v>170</v>
      </c>
      <c r="F46" s="152">
        <f t="shared" si="2"/>
        <v>0</v>
      </c>
      <c r="G46" s="87">
        <f t="shared" si="3"/>
        <v>0</v>
      </c>
      <c r="H46" s="154">
        <f t="shared" si="4"/>
        <v>0</v>
      </c>
    </row>
    <row r="47" ht="13.5" customHeight="1">
      <c r="A47" s="155" t="s">
        <v>16</v>
      </c>
      <c r="B47" s="94">
        <v>0.0</v>
      </c>
      <c r="C47" s="94">
        <v>200.0</v>
      </c>
      <c r="D47" s="14">
        <f t="shared" ref="D47:D54" si="11">E47-C47</f>
        <v>100</v>
      </c>
      <c r="E47" s="94">
        <v>300.0</v>
      </c>
      <c r="F47" s="94">
        <f t="shared" si="2"/>
        <v>0</v>
      </c>
      <c r="G47" s="94">
        <f t="shared" si="3"/>
        <v>0</v>
      </c>
      <c r="H47" s="140">
        <f t="shared" si="4"/>
        <v>0</v>
      </c>
    </row>
    <row r="48" ht="13.5" customHeight="1">
      <c r="A48" s="156" t="s">
        <v>39</v>
      </c>
      <c r="B48" s="21">
        <v>5.0</v>
      </c>
      <c r="C48" s="100">
        <v>200.0</v>
      </c>
      <c r="D48" s="21">
        <f t="shared" si="11"/>
        <v>200</v>
      </c>
      <c r="E48" s="100">
        <v>400.0</v>
      </c>
      <c r="F48" s="21">
        <f t="shared" si="2"/>
        <v>2000</v>
      </c>
      <c r="G48" s="100">
        <f t="shared" si="3"/>
        <v>1000</v>
      </c>
      <c r="H48" s="104">
        <f t="shared" si="4"/>
        <v>1000</v>
      </c>
    </row>
    <row r="49" ht="13.5" customHeight="1">
      <c r="A49" s="156" t="s">
        <v>25</v>
      </c>
      <c r="B49" s="21">
        <v>7.0</v>
      </c>
      <c r="C49" s="100">
        <v>200.0</v>
      </c>
      <c r="D49" s="21">
        <f t="shared" si="11"/>
        <v>300</v>
      </c>
      <c r="E49" s="100">
        <v>500.0</v>
      </c>
      <c r="F49" s="21">
        <f t="shared" si="2"/>
        <v>3500</v>
      </c>
      <c r="G49" s="100">
        <f t="shared" si="3"/>
        <v>1400</v>
      </c>
      <c r="H49" s="104">
        <f t="shared" si="4"/>
        <v>2100</v>
      </c>
    </row>
    <row r="50" ht="13.5" customHeight="1">
      <c r="A50" s="156" t="s">
        <v>26</v>
      </c>
      <c r="B50" s="21">
        <v>7.0</v>
      </c>
      <c r="C50" s="100">
        <v>200.0</v>
      </c>
      <c r="D50" s="21">
        <f t="shared" si="11"/>
        <v>250</v>
      </c>
      <c r="E50" s="100">
        <v>450.0</v>
      </c>
      <c r="F50" s="100">
        <f t="shared" si="2"/>
        <v>3150</v>
      </c>
      <c r="G50" s="100">
        <f t="shared" si="3"/>
        <v>1400</v>
      </c>
      <c r="H50" s="104">
        <f t="shared" si="4"/>
        <v>1750</v>
      </c>
    </row>
    <row r="51" ht="13.5" customHeight="1">
      <c r="A51" s="156" t="s">
        <v>27</v>
      </c>
      <c r="B51" s="21">
        <v>3.0</v>
      </c>
      <c r="C51" s="100">
        <v>200.0</v>
      </c>
      <c r="D51" s="21">
        <f t="shared" si="11"/>
        <v>250</v>
      </c>
      <c r="E51" s="100">
        <v>450.0</v>
      </c>
      <c r="F51" s="100">
        <f t="shared" si="2"/>
        <v>1350</v>
      </c>
      <c r="G51" s="100">
        <f t="shared" si="3"/>
        <v>600</v>
      </c>
      <c r="H51" s="104">
        <f t="shared" si="4"/>
        <v>750</v>
      </c>
    </row>
    <row r="52" ht="13.5" customHeight="1">
      <c r="A52" s="156" t="s">
        <v>28</v>
      </c>
      <c r="B52" s="21">
        <v>3.0</v>
      </c>
      <c r="C52" s="100">
        <v>170.0</v>
      </c>
      <c r="D52" s="21">
        <f t="shared" si="11"/>
        <v>30</v>
      </c>
      <c r="E52" s="100">
        <v>200.0</v>
      </c>
      <c r="F52" s="100">
        <f t="shared" si="2"/>
        <v>600</v>
      </c>
      <c r="G52" s="100">
        <f t="shared" si="3"/>
        <v>510</v>
      </c>
      <c r="H52" s="104">
        <f t="shared" si="4"/>
        <v>90</v>
      </c>
    </row>
    <row r="53" ht="13.5" customHeight="1">
      <c r="A53" s="156" t="s">
        <v>29</v>
      </c>
      <c r="B53" s="21">
        <v>2.0</v>
      </c>
      <c r="C53" s="100">
        <v>170.0</v>
      </c>
      <c r="D53" s="21">
        <f t="shared" si="11"/>
        <v>30</v>
      </c>
      <c r="E53" s="100">
        <v>200.0</v>
      </c>
      <c r="F53" s="100">
        <f t="shared" si="2"/>
        <v>400</v>
      </c>
      <c r="G53" s="100">
        <f t="shared" si="3"/>
        <v>340</v>
      </c>
      <c r="H53" s="104">
        <f t="shared" si="4"/>
        <v>60</v>
      </c>
    </row>
    <row r="54" ht="13.5" customHeight="1">
      <c r="A54" s="157" t="s">
        <v>86</v>
      </c>
      <c r="B54" s="111">
        <v>0.0</v>
      </c>
      <c r="C54" s="111">
        <v>50.0</v>
      </c>
      <c r="D54" s="41">
        <f t="shared" si="11"/>
        <v>0</v>
      </c>
      <c r="E54" s="111">
        <v>50.0</v>
      </c>
      <c r="F54" s="111">
        <f t="shared" si="2"/>
        <v>0</v>
      </c>
      <c r="G54" s="111">
        <f t="shared" si="3"/>
        <v>0</v>
      </c>
      <c r="H54" s="144">
        <f t="shared" si="4"/>
        <v>0</v>
      </c>
    </row>
    <row r="55" ht="13.5" customHeight="1">
      <c r="A55" s="158" t="s">
        <v>87</v>
      </c>
      <c r="B55" s="159">
        <v>4.0</v>
      </c>
      <c r="C55" s="160">
        <v>50.0</v>
      </c>
      <c r="D55" s="161">
        <v>0.0</v>
      </c>
      <c r="E55" s="162">
        <f>C55+D55</f>
        <v>50</v>
      </c>
      <c r="F55" s="159">
        <f t="shared" si="2"/>
        <v>200</v>
      </c>
      <c r="G55" s="160">
        <f t="shared" si="3"/>
        <v>200</v>
      </c>
      <c r="H55" s="163">
        <f t="shared" si="4"/>
        <v>0</v>
      </c>
    </row>
    <row r="56" ht="13.5" customHeight="1">
      <c r="A56" s="18"/>
      <c r="B56" s="135">
        <f>SUM(B4:B55)</f>
        <v>247</v>
      </c>
      <c r="C56" s="28"/>
      <c r="D56" s="28"/>
      <c r="E56" s="28"/>
      <c r="F56" s="136">
        <f t="shared" ref="F56:H56" si="12">SUM(F4:F55)</f>
        <v>83910</v>
      </c>
      <c r="G56" s="135">
        <f t="shared" si="12"/>
        <v>48640</v>
      </c>
      <c r="H56" s="137">
        <f t="shared" si="12"/>
        <v>35270</v>
      </c>
    </row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G1"/>
    <mergeCell ref="A2:D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4.5"/>
    <col customWidth="1" min="2" max="2" width="27.63"/>
    <col customWidth="1" min="3" max="6" width="10.13"/>
    <col customWidth="1" min="7" max="7" width="8.63"/>
    <col customWidth="1" min="8" max="9" width="11.13"/>
    <col customWidth="1" min="10" max="10" width="11.5"/>
    <col customWidth="1" min="11" max="11" width="11.13"/>
    <col customWidth="1" min="12" max="14" width="10.63"/>
    <col customWidth="1" min="15" max="15" width="8.13"/>
    <col customWidth="1" min="16" max="16" width="4.63"/>
    <col customWidth="1" min="17" max="17" width="8.63"/>
    <col customWidth="1" min="18" max="18" width="47.63"/>
    <col customWidth="1" min="19" max="26" width="8.63"/>
  </cols>
  <sheetData>
    <row r="1" ht="13.5" customHeight="1">
      <c r="B1" s="1" t="s">
        <v>0</v>
      </c>
    </row>
    <row r="2" ht="13.5" customHeight="1">
      <c r="B2" s="2" t="s">
        <v>102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4"/>
      <c r="R2" s="4"/>
    </row>
    <row r="3" ht="13.5" customHeight="1">
      <c r="B3" s="5" t="s">
        <v>2</v>
      </c>
      <c r="C3" s="6" t="s">
        <v>3</v>
      </c>
      <c r="D3" s="7" t="s">
        <v>4</v>
      </c>
      <c r="E3" s="7" t="s">
        <v>5</v>
      </c>
      <c r="F3" s="7" t="s">
        <v>6</v>
      </c>
      <c r="G3" s="8" t="s">
        <v>7</v>
      </c>
      <c r="H3" s="7" t="s">
        <v>8</v>
      </c>
      <c r="I3" s="7" t="s">
        <v>9</v>
      </c>
      <c r="J3" s="9" t="s">
        <v>10</v>
      </c>
      <c r="K3" s="7" t="s">
        <v>11</v>
      </c>
      <c r="L3" s="10" t="s">
        <v>12</v>
      </c>
      <c r="M3" s="10" t="s">
        <v>13</v>
      </c>
      <c r="N3" s="10" t="s">
        <v>14</v>
      </c>
      <c r="O3" s="11" t="s">
        <v>15</v>
      </c>
    </row>
    <row r="4" ht="13.5" customHeight="1">
      <c r="B4" s="12" t="s">
        <v>16</v>
      </c>
      <c r="C4" s="13">
        <v>10.0</v>
      </c>
      <c r="D4" s="14">
        <v>50.0</v>
      </c>
      <c r="E4" s="14">
        <v>0.0</v>
      </c>
      <c r="F4" s="14">
        <f t="shared" ref="F4:F38" si="1">G4-E4-D4</f>
        <v>50</v>
      </c>
      <c r="G4" s="15">
        <v>100.0</v>
      </c>
      <c r="H4" s="13">
        <f t="shared" ref="H4:H38" si="2">D4*C4</f>
        <v>500</v>
      </c>
      <c r="I4" s="14">
        <f t="shared" ref="I4:I38" si="3">C4*E4</f>
        <v>0</v>
      </c>
      <c r="J4" s="16">
        <f t="shared" ref="J4:J38" si="4">C4*G4</f>
        <v>1000</v>
      </c>
      <c r="K4" s="14">
        <f t="shared" ref="K4:K38" si="5">F4*C4</f>
        <v>500</v>
      </c>
      <c r="L4" s="15">
        <v>0.0</v>
      </c>
      <c r="M4" s="15">
        <f t="shared" ref="M4:M38" si="6">L4+K4</f>
        <v>500</v>
      </c>
      <c r="N4" s="15">
        <v>0.0</v>
      </c>
      <c r="O4" s="17">
        <f t="shared" ref="O4:O38" si="7">M4-N4</f>
        <v>500</v>
      </c>
      <c r="P4" s="18"/>
    </row>
    <row r="5" ht="13.5" customHeight="1">
      <c r="B5" s="19" t="s">
        <v>17</v>
      </c>
      <c r="C5" s="20">
        <v>8.0</v>
      </c>
      <c r="D5" s="21">
        <v>50.0</v>
      </c>
      <c r="E5" s="21">
        <v>50.0</v>
      </c>
      <c r="F5" s="21">
        <f t="shared" si="1"/>
        <v>50</v>
      </c>
      <c r="G5" s="22">
        <v>150.0</v>
      </c>
      <c r="H5" s="20">
        <f t="shared" si="2"/>
        <v>400</v>
      </c>
      <c r="I5" s="21">
        <f t="shared" si="3"/>
        <v>400</v>
      </c>
      <c r="J5" s="23">
        <f t="shared" si="4"/>
        <v>1200</v>
      </c>
      <c r="K5" s="21">
        <f t="shared" si="5"/>
        <v>400</v>
      </c>
      <c r="L5" s="22">
        <v>0.0</v>
      </c>
      <c r="M5" s="22">
        <f t="shared" si="6"/>
        <v>400</v>
      </c>
      <c r="N5" s="22">
        <v>400.0</v>
      </c>
      <c r="O5" s="24">
        <f t="shared" si="7"/>
        <v>0</v>
      </c>
      <c r="P5" s="18"/>
    </row>
    <row r="6" ht="13.5" customHeight="1">
      <c r="B6" s="25" t="s">
        <v>18</v>
      </c>
      <c r="C6" s="20">
        <v>7.0</v>
      </c>
      <c r="D6" s="21">
        <v>50.0</v>
      </c>
      <c r="E6" s="21">
        <v>50.0</v>
      </c>
      <c r="F6" s="21">
        <f t="shared" si="1"/>
        <v>100</v>
      </c>
      <c r="G6" s="22">
        <v>200.0</v>
      </c>
      <c r="H6" s="20">
        <f t="shared" si="2"/>
        <v>350</v>
      </c>
      <c r="I6" s="21">
        <f t="shared" si="3"/>
        <v>350</v>
      </c>
      <c r="J6" s="23">
        <f t="shared" si="4"/>
        <v>1400</v>
      </c>
      <c r="K6" s="21">
        <f t="shared" si="5"/>
        <v>700</v>
      </c>
      <c r="L6" s="22">
        <v>0.0</v>
      </c>
      <c r="M6" s="22">
        <f t="shared" si="6"/>
        <v>700</v>
      </c>
      <c r="N6" s="22">
        <v>700.0</v>
      </c>
      <c r="O6" s="24">
        <f t="shared" si="7"/>
        <v>0</v>
      </c>
      <c r="P6" s="18"/>
    </row>
    <row r="7" ht="13.5" customHeight="1">
      <c r="B7" s="19" t="s">
        <v>19</v>
      </c>
      <c r="C7" s="20">
        <v>19.0</v>
      </c>
      <c r="D7" s="21">
        <v>30.0</v>
      </c>
      <c r="E7" s="21">
        <v>0.0</v>
      </c>
      <c r="F7" s="21">
        <f t="shared" si="1"/>
        <v>0</v>
      </c>
      <c r="G7" s="22">
        <v>30.0</v>
      </c>
      <c r="H7" s="20">
        <f t="shared" si="2"/>
        <v>570</v>
      </c>
      <c r="I7" s="21">
        <f t="shared" si="3"/>
        <v>0</v>
      </c>
      <c r="J7" s="23">
        <f t="shared" si="4"/>
        <v>570</v>
      </c>
      <c r="K7" s="21">
        <f t="shared" si="5"/>
        <v>0</v>
      </c>
      <c r="L7" s="22">
        <v>0.0</v>
      </c>
      <c r="M7" s="22">
        <f t="shared" si="6"/>
        <v>0</v>
      </c>
      <c r="N7" s="22">
        <v>0.0</v>
      </c>
      <c r="O7" s="24">
        <f t="shared" si="7"/>
        <v>0</v>
      </c>
      <c r="P7" s="18"/>
    </row>
    <row r="8" ht="13.5" customHeight="1">
      <c r="B8" s="26" t="s">
        <v>20</v>
      </c>
      <c r="C8" s="20">
        <v>8.0</v>
      </c>
      <c r="D8" s="21">
        <v>30.0</v>
      </c>
      <c r="E8" s="21">
        <v>0.0</v>
      </c>
      <c r="F8" s="21">
        <f t="shared" si="1"/>
        <v>0</v>
      </c>
      <c r="G8" s="22">
        <v>30.0</v>
      </c>
      <c r="H8" s="20">
        <f t="shared" si="2"/>
        <v>240</v>
      </c>
      <c r="I8" s="21">
        <f t="shared" si="3"/>
        <v>0</v>
      </c>
      <c r="J8" s="23">
        <f t="shared" si="4"/>
        <v>240</v>
      </c>
      <c r="K8" s="21">
        <f t="shared" si="5"/>
        <v>0</v>
      </c>
      <c r="L8" s="22">
        <v>0.0</v>
      </c>
      <c r="M8" s="22">
        <f t="shared" si="6"/>
        <v>0</v>
      </c>
      <c r="N8" s="22">
        <v>0.0</v>
      </c>
      <c r="O8" s="24">
        <f t="shared" si="7"/>
        <v>0</v>
      </c>
      <c r="P8" s="18"/>
    </row>
    <row r="9" ht="13.5" customHeight="1">
      <c r="B9" s="19" t="s">
        <v>21</v>
      </c>
      <c r="C9" s="20">
        <v>4.0</v>
      </c>
      <c r="D9" s="21">
        <v>50.0</v>
      </c>
      <c r="E9" s="21">
        <v>50.0</v>
      </c>
      <c r="F9" s="21">
        <f t="shared" si="1"/>
        <v>100</v>
      </c>
      <c r="G9" s="22">
        <v>200.0</v>
      </c>
      <c r="H9" s="20">
        <f t="shared" si="2"/>
        <v>200</v>
      </c>
      <c r="I9" s="21">
        <f t="shared" si="3"/>
        <v>200</v>
      </c>
      <c r="J9" s="23">
        <f t="shared" si="4"/>
        <v>800</v>
      </c>
      <c r="K9" s="21">
        <f t="shared" si="5"/>
        <v>400</v>
      </c>
      <c r="L9" s="22">
        <v>0.0</v>
      </c>
      <c r="M9" s="22">
        <f t="shared" si="6"/>
        <v>400</v>
      </c>
      <c r="N9" s="22">
        <v>400.0</v>
      </c>
      <c r="O9" s="24">
        <f t="shared" si="7"/>
        <v>0</v>
      </c>
    </row>
    <row r="10" ht="13.5" customHeight="1">
      <c r="B10" s="19" t="s">
        <v>22</v>
      </c>
      <c r="C10" s="27">
        <v>2.0</v>
      </c>
      <c r="D10" s="21">
        <v>50.0</v>
      </c>
      <c r="E10" s="21">
        <v>50.0</v>
      </c>
      <c r="F10" s="21">
        <f t="shared" si="1"/>
        <v>200</v>
      </c>
      <c r="G10" s="22">
        <v>300.0</v>
      </c>
      <c r="H10" s="20">
        <f t="shared" si="2"/>
        <v>100</v>
      </c>
      <c r="I10" s="21">
        <f t="shared" si="3"/>
        <v>100</v>
      </c>
      <c r="J10" s="23">
        <f t="shared" si="4"/>
        <v>600</v>
      </c>
      <c r="K10" s="21">
        <f t="shared" si="5"/>
        <v>400</v>
      </c>
      <c r="L10" s="22">
        <v>2400.0</v>
      </c>
      <c r="M10" s="22">
        <f t="shared" si="6"/>
        <v>2800</v>
      </c>
      <c r="N10" s="22">
        <v>2666.0</v>
      </c>
      <c r="O10" s="24">
        <f t="shared" si="7"/>
        <v>134</v>
      </c>
      <c r="Q10" s="28"/>
    </row>
    <row r="11" ht="13.5" customHeight="1">
      <c r="B11" s="19" t="s">
        <v>23</v>
      </c>
      <c r="C11" s="20">
        <v>3.0</v>
      </c>
      <c r="D11" s="21">
        <v>50.0</v>
      </c>
      <c r="E11" s="21">
        <v>50.0</v>
      </c>
      <c r="F11" s="21">
        <f t="shared" si="1"/>
        <v>150</v>
      </c>
      <c r="G11" s="22">
        <v>250.0</v>
      </c>
      <c r="H11" s="20">
        <f t="shared" si="2"/>
        <v>150</v>
      </c>
      <c r="I11" s="21">
        <f t="shared" si="3"/>
        <v>150</v>
      </c>
      <c r="J11" s="23">
        <f t="shared" si="4"/>
        <v>750</v>
      </c>
      <c r="K11" s="21">
        <f t="shared" si="5"/>
        <v>450</v>
      </c>
      <c r="L11" s="22">
        <v>1200.0</v>
      </c>
      <c r="M11" s="22">
        <f t="shared" si="6"/>
        <v>1650</v>
      </c>
      <c r="N11" s="22">
        <v>1439.0</v>
      </c>
      <c r="O11" s="24">
        <f t="shared" si="7"/>
        <v>211</v>
      </c>
      <c r="Q11" s="28"/>
    </row>
    <row r="12" ht="13.5" customHeight="1">
      <c r="B12" s="29" t="s">
        <v>24</v>
      </c>
      <c r="C12" s="20">
        <v>6.0</v>
      </c>
      <c r="D12" s="21">
        <v>50.0</v>
      </c>
      <c r="E12" s="21">
        <v>50.0</v>
      </c>
      <c r="F12" s="21">
        <f t="shared" si="1"/>
        <v>200</v>
      </c>
      <c r="G12" s="22">
        <v>300.0</v>
      </c>
      <c r="H12" s="20">
        <f t="shared" si="2"/>
        <v>300</v>
      </c>
      <c r="I12" s="21">
        <f t="shared" si="3"/>
        <v>300</v>
      </c>
      <c r="J12" s="23">
        <f t="shared" si="4"/>
        <v>1800</v>
      </c>
      <c r="K12" s="21">
        <f t="shared" si="5"/>
        <v>1200</v>
      </c>
      <c r="L12" s="22">
        <v>2000.0</v>
      </c>
      <c r="M12" s="22">
        <f t="shared" si="6"/>
        <v>3200</v>
      </c>
      <c r="N12" s="22">
        <v>2798.0</v>
      </c>
      <c r="O12" s="24">
        <f t="shared" si="7"/>
        <v>402</v>
      </c>
    </row>
    <row r="13" ht="13.5" customHeight="1">
      <c r="B13" s="19" t="s">
        <v>16</v>
      </c>
      <c r="C13" s="20">
        <v>9.0</v>
      </c>
      <c r="D13" s="21">
        <v>50.0</v>
      </c>
      <c r="E13" s="21">
        <v>0.0</v>
      </c>
      <c r="F13" s="21">
        <f t="shared" si="1"/>
        <v>50</v>
      </c>
      <c r="G13" s="22">
        <v>100.0</v>
      </c>
      <c r="H13" s="20">
        <f t="shared" si="2"/>
        <v>450</v>
      </c>
      <c r="I13" s="21">
        <f t="shared" si="3"/>
        <v>0</v>
      </c>
      <c r="J13" s="23">
        <f t="shared" si="4"/>
        <v>900</v>
      </c>
      <c r="K13" s="21">
        <f t="shared" si="5"/>
        <v>450</v>
      </c>
      <c r="L13" s="22">
        <v>0.0</v>
      </c>
      <c r="M13" s="22">
        <f t="shared" si="6"/>
        <v>450</v>
      </c>
      <c r="N13" s="22">
        <v>0.0</v>
      </c>
      <c r="O13" s="24">
        <f t="shared" si="7"/>
        <v>450</v>
      </c>
    </row>
    <row r="14" ht="13.5" customHeight="1">
      <c r="B14" s="19" t="s">
        <v>30</v>
      </c>
      <c r="C14" s="20">
        <v>8.0</v>
      </c>
      <c r="D14" s="21">
        <v>50.0</v>
      </c>
      <c r="E14" s="21">
        <v>50.0</v>
      </c>
      <c r="F14" s="21">
        <f t="shared" si="1"/>
        <v>100</v>
      </c>
      <c r="G14" s="22">
        <v>200.0</v>
      </c>
      <c r="H14" s="20">
        <f t="shared" si="2"/>
        <v>400</v>
      </c>
      <c r="I14" s="21">
        <f t="shared" si="3"/>
        <v>400</v>
      </c>
      <c r="J14" s="23">
        <f t="shared" si="4"/>
        <v>1600</v>
      </c>
      <c r="K14" s="21">
        <f t="shared" si="5"/>
        <v>800</v>
      </c>
      <c r="L14" s="22">
        <v>0.0</v>
      </c>
      <c r="M14" s="22">
        <f t="shared" si="6"/>
        <v>800</v>
      </c>
      <c r="N14" s="22">
        <v>800.0</v>
      </c>
      <c r="O14" s="24">
        <f t="shared" si="7"/>
        <v>0</v>
      </c>
    </row>
    <row r="15" ht="13.5" customHeight="1">
      <c r="B15" s="30" t="s">
        <v>31</v>
      </c>
      <c r="C15" s="31">
        <v>7.0</v>
      </c>
      <c r="D15" s="32">
        <v>50.0</v>
      </c>
      <c r="E15" s="32">
        <v>50.0</v>
      </c>
      <c r="F15" s="32">
        <f t="shared" si="1"/>
        <v>100</v>
      </c>
      <c r="G15" s="33">
        <v>200.0</v>
      </c>
      <c r="H15" s="31">
        <f t="shared" si="2"/>
        <v>350</v>
      </c>
      <c r="I15" s="32">
        <f t="shared" si="3"/>
        <v>350</v>
      </c>
      <c r="J15" s="34">
        <f t="shared" si="4"/>
        <v>1400</v>
      </c>
      <c r="K15" s="32">
        <f t="shared" si="5"/>
        <v>700</v>
      </c>
      <c r="L15" s="33">
        <v>0.0</v>
      </c>
      <c r="M15" s="33">
        <f t="shared" si="6"/>
        <v>700</v>
      </c>
      <c r="N15" s="33">
        <v>700.0</v>
      </c>
      <c r="O15" s="35">
        <f t="shared" si="7"/>
        <v>0</v>
      </c>
    </row>
    <row r="16" ht="13.5" customHeight="1">
      <c r="B16" s="19" t="s">
        <v>25</v>
      </c>
      <c r="C16" s="20">
        <v>1.0</v>
      </c>
      <c r="D16" s="21">
        <v>50.0</v>
      </c>
      <c r="E16" s="21">
        <v>50.0</v>
      </c>
      <c r="F16" s="21">
        <f t="shared" si="1"/>
        <v>200</v>
      </c>
      <c r="G16" s="22">
        <v>300.0</v>
      </c>
      <c r="H16" s="20">
        <f t="shared" si="2"/>
        <v>50</v>
      </c>
      <c r="I16" s="21">
        <f t="shared" si="3"/>
        <v>50</v>
      </c>
      <c r="J16" s="23">
        <f t="shared" si="4"/>
        <v>300</v>
      </c>
      <c r="K16" s="21">
        <f t="shared" si="5"/>
        <v>200</v>
      </c>
      <c r="L16" s="22">
        <v>2000.0</v>
      </c>
      <c r="M16" s="22">
        <f t="shared" si="6"/>
        <v>2200</v>
      </c>
      <c r="N16" s="22">
        <v>2133.0</v>
      </c>
      <c r="O16" s="24">
        <f t="shared" si="7"/>
        <v>67</v>
      </c>
    </row>
    <row r="17" ht="13.5" customHeight="1">
      <c r="B17" s="19" t="s">
        <v>26</v>
      </c>
      <c r="C17" s="20">
        <v>9.0</v>
      </c>
      <c r="D17" s="21">
        <v>50.0</v>
      </c>
      <c r="E17" s="21">
        <v>50.0</v>
      </c>
      <c r="F17" s="21">
        <f t="shared" si="1"/>
        <v>150</v>
      </c>
      <c r="G17" s="22">
        <v>250.0</v>
      </c>
      <c r="H17" s="20">
        <f t="shared" si="2"/>
        <v>450</v>
      </c>
      <c r="I17" s="21">
        <f t="shared" si="3"/>
        <v>450</v>
      </c>
      <c r="J17" s="23">
        <f t="shared" si="4"/>
        <v>2250</v>
      </c>
      <c r="K17" s="21">
        <f t="shared" si="5"/>
        <v>1350</v>
      </c>
      <c r="L17" s="22">
        <v>1200.0</v>
      </c>
      <c r="M17" s="22">
        <f t="shared" si="6"/>
        <v>2550</v>
      </c>
      <c r="N17" s="22">
        <v>1918.0</v>
      </c>
      <c r="O17" s="24">
        <f t="shared" si="7"/>
        <v>632</v>
      </c>
    </row>
    <row r="18" ht="13.5" customHeight="1">
      <c r="B18" s="19" t="s">
        <v>27</v>
      </c>
      <c r="C18" s="20">
        <v>4.0</v>
      </c>
      <c r="D18" s="21">
        <v>50.0</v>
      </c>
      <c r="E18" s="21">
        <v>50.0</v>
      </c>
      <c r="F18" s="21">
        <f t="shared" si="1"/>
        <v>150</v>
      </c>
      <c r="G18" s="22">
        <v>250.0</v>
      </c>
      <c r="H18" s="20">
        <f t="shared" si="2"/>
        <v>200</v>
      </c>
      <c r="I18" s="21">
        <f t="shared" si="3"/>
        <v>200</v>
      </c>
      <c r="J18" s="23">
        <f t="shared" si="4"/>
        <v>1000</v>
      </c>
      <c r="K18" s="21">
        <f t="shared" si="5"/>
        <v>600</v>
      </c>
      <c r="L18" s="22">
        <v>1600.0</v>
      </c>
      <c r="M18" s="22">
        <f t="shared" si="6"/>
        <v>2200</v>
      </c>
      <c r="N18" s="22">
        <v>2025.0</v>
      </c>
      <c r="O18" s="24">
        <f t="shared" si="7"/>
        <v>175</v>
      </c>
    </row>
    <row r="19" ht="13.5" customHeight="1">
      <c r="B19" s="19" t="s">
        <v>28</v>
      </c>
      <c r="C19" s="20">
        <v>2.0</v>
      </c>
      <c r="D19" s="21">
        <v>30.0</v>
      </c>
      <c r="E19" s="21">
        <v>0.0</v>
      </c>
      <c r="F19" s="21">
        <f t="shared" si="1"/>
        <v>0</v>
      </c>
      <c r="G19" s="22">
        <v>30.0</v>
      </c>
      <c r="H19" s="20">
        <f t="shared" si="2"/>
        <v>60</v>
      </c>
      <c r="I19" s="21">
        <f t="shared" si="3"/>
        <v>0</v>
      </c>
      <c r="J19" s="23">
        <f t="shared" si="4"/>
        <v>60</v>
      </c>
      <c r="K19" s="21">
        <f t="shared" si="5"/>
        <v>0</v>
      </c>
      <c r="L19" s="22">
        <v>0.0</v>
      </c>
      <c r="M19" s="22">
        <f t="shared" si="6"/>
        <v>0</v>
      </c>
      <c r="N19" s="22">
        <v>0.0</v>
      </c>
      <c r="O19" s="24">
        <f t="shared" si="7"/>
        <v>0</v>
      </c>
    </row>
    <row r="20" ht="13.5" customHeight="1">
      <c r="B20" s="19" t="s">
        <v>29</v>
      </c>
      <c r="C20" s="20">
        <v>1.0</v>
      </c>
      <c r="D20" s="21">
        <v>30.0</v>
      </c>
      <c r="E20" s="21">
        <v>0.0</v>
      </c>
      <c r="F20" s="21">
        <f t="shared" si="1"/>
        <v>0</v>
      </c>
      <c r="G20" s="22">
        <v>30.0</v>
      </c>
      <c r="H20" s="20">
        <f t="shared" si="2"/>
        <v>30</v>
      </c>
      <c r="I20" s="21">
        <f t="shared" si="3"/>
        <v>0</v>
      </c>
      <c r="J20" s="23">
        <f t="shared" si="4"/>
        <v>30</v>
      </c>
      <c r="K20" s="21">
        <f t="shared" si="5"/>
        <v>0</v>
      </c>
      <c r="L20" s="22">
        <v>0.0</v>
      </c>
      <c r="M20" s="22">
        <f t="shared" si="6"/>
        <v>0</v>
      </c>
      <c r="N20" s="22">
        <v>0.0</v>
      </c>
      <c r="O20" s="24">
        <f t="shared" si="7"/>
        <v>0</v>
      </c>
    </row>
    <row r="21" ht="13.5" customHeight="1">
      <c r="B21" s="36" t="s">
        <v>16</v>
      </c>
      <c r="C21" s="13">
        <v>7.0</v>
      </c>
      <c r="D21" s="14">
        <v>50.0</v>
      </c>
      <c r="E21" s="14">
        <v>0.0</v>
      </c>
      <c r="F21" s="14">
        <f t="shared" si="1"/>
        <v>50</v>
      </c>
      <c r="G21" s="15">
        <v>100.0</v>
      </c>
      <c r="H21" s="13">
        <f t="shared" si="2"/>
        <v>350</v>
      </c>
      <c r="I21" s="14">
        <f t="shared" si="3"/>
        <v>0</v>
      </c>
      <c r="J21" s="16">
        <f t="shared" si="4"/>
        <v>700</v>
      </c>
      <c r="K21" s="14">
        <f t="shared" si="5"/>
        <v>350</v>
      </c>
      <c r="L21" s="14">
        <v>0.0</v>
      </c>
      <c r="M21" s="15">
        <f t="shared" si="6"/>
        <v>350</v>
      </c>
      <c r="N21" s="15">
        <v>0.0</v>
      </c>
      <c r="O21" s="17">
        <f t="shared" si="7"/>
        <v>350</v>
      </c>
    </row>
    <row r="22" ht="13.5" customHeight="1">
      <c r="B22" s="37" t="s">
        <v>32</v>
      </c>
      <c r="C22" s="20">
        <v>7.0</v>
      </c>
      <c r="D22" s="21">
        <v>50.0</v>
      </c>
      <c r="E22" s="21">
        <v>50.0</v>
      </c>
      <c r="F22" s="21">
        <f t="shared" si="1"/>
        <v>100</v>
      </c>
      <c r="G22" s="22">
        <v>200.0</v>
      </c>
      <c r="H22" s="20">
        <f t="shared" si="2"/>
        <v>350</v>
      </c>
      <c r="I22" s="21">
        <f t="shared" si="3"/>
        <v>350</v>
      </c>
      <c r="J22" s="23">
        <f t="shared" si="4"/>
        <v>1400</v>
      </c>
      <c r="K22" s="21">
        <f t="shared" si="5"/>
        <v>700</v>
      </c>
      <c r="L22" s="21">
        <v>0.0</v>
      </c>
      <c r="M22" s="22">
        <f t="shared" si="6"/>
        <v>700</v>
      </c>
      <c r="N22" s="22">
        <v>700.0</v>
      </c>
      <c r="O22" s="24">
        <f t="shared" si="7"/>
        <v>0</v>
      </c>
    </row>
    <row r="23" ht="13.5" customHeight="1">
      <c r="B23" s="37" t="s">
        <v>17</v>
      </c>
      <c r="C23" s="20">
        <v>11.0</v>
      </c>
      <c r="D23" s="21">
        <v>50.0</v>
      </c>
      <c r="E23" s="21">
        <v>50.0</v>
      </c>
      <c r="F23" s="21">
        <f t="shared" si="1"/>
        <v>50</v>
      </c>
      <c r="G23" s="22">
        <v>150.0</v>
      </c>
      <c r="H23" s="20">
        <f t="shared" si="2"/>
        <v>550</v>
      </c>
      <c r="I23" s="21">
        <f t="shared" si="3"/>
        <v>550</v>
      </c>
      <c r="J23" s="23">
        <f t="shared" si="4"/>
        <v>1650</v>
      </c>
      <c r="K23" s="21">
        <f t="shared" si="5"/>
        <v>550</v>
      </c>
      <c r="L23" s="21">
        <v>0.0</v>
      </c>
      <c r="M23" s="22">
        <f t="shared" si="6"/>
        <v>550</v>
      </c>
      <c r="N23" s="22">
        <v>550.0</v>
      </c>
      <c r="O23" s="24">
        <f t="shared" si="7"/>
        <v>0</v>
      </c>
    </row>
    <row r="24" ht="13.5" customHeight="1">
      <c r="B24" s="37" t="s">
        <v>19</v>
      </c>
      <c r="C24" s="20">
        <v>19.0</v>
      </c>
      <c r="D24" s="21">
        <v>30.0</v>
      </c>
      <c r="E24" s="21">
        <v>0.0</v>
      </c>
      <c r="F24" s="21">
        <f t="shared" si="1"/>
        <v>0</v>
      </c>
      <c r="G24" s="22">
        <v>30.0</v>
      </c>
      <c r="H24" s="20">
        <f t="shared" si="2"/>
        <v>570</v>
      </c>
      <c r="I24" s="21">
        <f t="shared" si="3"/>
        <v>0</v>
      </c>
      <c r="J24" s="23">
        <f t="shared" si="4"/>
        <v>570</v>
      </c>
      <c r="K24" s="21">
        <f t="shared" si="5"/>
        <v>0</v>
      </c>
      <c r="L24" s="21">
        <v>0.0</v>
      </c>
      <c r="M24" s="22">
        <f t="shared" si="6"/>
        <v>0</v>
      </c>
      <c r="N24" s="22">
        <v>0.0</v>
      </c>
      <c r="O24" s="24">
        <f t="shared" si="7"/>
        <v>0</v>
      </c>
    </row>
    <row r="25" ht="13.5" customHeight="1">
      <c r="B25" s="37" t="s">
        <v>33</v>
      </c>
      <c r="C25" s="20">
        <v>9.0</v>
      </c>
      <c r="D25" s="21">
        <v>50.0</v>
      </c>
      <c r="E25" s="21">
        <v>50.0</v>
      </c>
      <c r="F25" s="21">
        <f t="shared" si="1"/>
        <v>100</v>
      </c>
      <c r="G25" s="22">
        <v>200.0</v>
      </c>
      <c r="H25" s="20">
        <f t="shared" si="2"/>
        <v>450</v>
      </c>
      <c r="I25" s="21">
        <f t="shared" si="3"/>
        <v>450</v>
      </c>
      <c r="J25" s="23">
        <f t="shared" si="4"/>
        <v>1800</v>
      </c>
      <c r="K25" s="21">
        <f t="shared" si="5"/>
        <v>900</v>
      </c>
      <c r="L25" s="21">
        <v>0.0</v>
      </c>
      <c r="M25" s="22">
        <f t="shared" si="6"/>
        <v>900</v>
      </c>
      <c r="N25" s="22">
        <v>900.0</v>
      </c>
      <c r="O25" s="24">
        <f t="shared" si="7"/>
        <v>0</v>
      </c>
    </row>
    <row r="26" ht="13.5" customHeight="1">
      <c r="B26" s="37" t="s">
        <v>16</v>
      </c>
      <c r="C26" s="20">
        <v>7.0</v>
      </c>
      <c r="D26" s="21">
        <v>50.0</v>
      </c>
      <c r="E26" s="21">
        <v>0.0</v>
      </c>
      <c r="F26" s="21">
        <f t="shared" si="1"/>
        <v>50</v>
      </c>
      <c r="G26" s="22">
        <v>100.0</v>
      </c>
      <c r="H26" s="20">
        <f t="shared" si="2"/>
        <v>350</v>
      </c>
      <c r="I26" s="21">
        <f t="shared" si="3"/>
        <v>0</v>
      </c>
      <c r="J26" s="23">
        <f t="shared" si="4"/>
        <v>700</v>
      </c>
      <c r="K26" s="21">
        <f t="shared" si="5"/>
        <v>350</v>
      </c>
      <c r="L26" s="22">
        <v>0.0</v>
      </c>
      <c r="M26" s="22">
        <f t="shared" si="6"/>
        <v>350</v>
      </c>
      <c r="N26" s="22">
        <v>0.0</v>
      </c>
      <c r="O26" s="24">
        <f t="shared" si="7"/>
        <v>350</v>
      </c>
    </row>
    <row r="27" ht="13.5" customHeight="1">
      <c r="B27" s="38" t="s">
        <v>34</v>
      </c>
      <c r="C27" s="20">
        <v>6.0</v>
      </c>
      <c r="D27" s="21">
        <v>30.0</v>
      </c>
      <c r="E27" s="21">
        <v>0.0</v>
      </c>
      <c r="F27" s="21">
        <f t="shared" si="1"/>
        <v>0</v>
      </c>
      <c r="G27" s="22">
        <v>30.0</v>
      </c>
      <c r="H27" s="20">
        <f t="shared" si="2"/>
        <v>180</v>
      </c>
      <c r="I27" s="21">
        <f t="shared" si="3"/>
        <v>0</v>
      </c>
      <c r="J27" s="23">
        <f t="shared" si="4"/>
        <v>180</v>
      </c>
      <c r="K27" s="21">
        <f t="shared" si="5"/>
        <v>0</v>
      </c>
      <c r="L27" s="21">
        <v>0.0</v>
      </c>
      <c r="M27" s="22">
        <f t="shared" si="6"/>
        <v>0</v>
      </c>
      <c r="N27" s="22">
        <v>0.0</v>
      </c>
      <c r="O27" s="24">
        <f t="shared" si="7"/>
        <v>0</v>
      </c>
    </row>
    <row r="28" ht="13.5" customHeight="1">
      <c r="B28" s="37" t="s">
        <v>35</v>
      </c>
      <c r="C28" s="20">
        <v>4.0</v>
      </c>
      <c r="D28" s="21">
        <v>50.0</v>
      </c>
      <c r="E28" s="21">
        <v>50.0</v>
      </c>
      <c r="F28" s="21">
        <f t="shared" si="1"/>
        <v>100</v>
      </c>
      <c r="G28" s="22">
        <v>200.0</v>
      </c>
      <c r="H28" s="20">
        <f t="shared" si="2"/>
        <v>200</v>
      </c>
      <c r="I28" s="21">
        <f t="shared" si="3"/>
        <v>200</v>
      </c>
      <c r="J28" s="23">
        <f t="shared" si="4"/>
        <v>800</v>
      </c>
      <c r="K28" s="21">
        <f t="shared" si="5"/>
        <v>400</v>
      </c>
      <c r="L28" s="21">
        <v>0.0</v>
      </c>
      <c r="M28" s="22">
        <f t="shared" si="6"/>
        <v>400</v>
      </c>
      <c r="N28" s="22">
        <v>400.0</v>
      </c>
      <c r="O28" s="24">
        <f t="shared" si="7"/>
        <v>0</v>
      </c>
    </row>
    <row r="29" ht="13.5" customHeight="1">
      <c r="B29" s="37" t="s">
        <v>36</v>
      </c>
      <c r="C29" s="27">
        <v>9.0</v>
      </c>
      <c r="D29" s="21">
        <v>50.0</v>
      </c>
      <c r="E29" s="21">
        <v>50.0</v>
      </c>
      <c r="F29" s="21">
        <f t="shared" si="1"/>
        <v>500</v>
      </c>
      <c r="G29" s="22">
        <v>600.0</v>
      </c>
      <c r="H29" s="20">
        <f t="shared" si="2"/>
        <v>450</v>
      </c>
      <c r="I29" s="21">
        <f t="shared" si="3"/>
        <v>450</v>
      </c>
      <c r="J29" s="23">
        <f t="shared" si="4"/>
        <v>5400</v>
      </c>
      <c r="K29" s="21">
        <f t="shared" si="5"/>
        <v>4500</v>
      </c>
      <c r="L29" s="21">
        <v>7600.0</v>
      </c>
      <c r="M29" s="22">
        <f t="shared" si="6"/>
        <v>12100</v>
      </c>
      <c r="N29" s="22">
        <v>11191.0</v>
      </c>
      <c r="O29" s="24">
        <f t="shared" si="7"/>
        <v>909</v>
      </c>
    </row>
    <row r="30" ht="13.5" customHeight="1">
      <c r="B30" s="37" t="s">
        <v>37</v>
      </c>
      <c r="C30" s="27">
        <v>2.0</v>
      </c>
      <c r="D30" s="21">
        <v>50.0</v>
      </c>
      <c r="E30" s="21">
        <v>50.0</v>
      </c>
      <c r="F30" s="21">
        <f t="shared" si="1"/>
        <v>200</v>
      </c>
      <c r="G30" s="22">
        <v>300.0</v>
      </c>
      <c r="H30" s="20">
        <f t="shared" si="2"/>
        <v>100</v>
      </c>
      <c r="I30" s="21">
        <f t="shared" si="3"/>
        <v>100</v>
      </c>
      <c r="J30" s="23">
        <f t="shared" si="4"/>
        <v>600</v>
      </c>
      <c r="K30" s="21">
        <f t="shared" si="5"/>
        <v>400</v>
      </c>
      <c r="L30" s="21">
        <v>2000.0</v>
      </c>
      <c r="M30" s="22">
        <f t="shared" si="6"/>
        <v>2400</v>
      </c>
      <c r="N30" s="22">
        <v>1360.0</v>
      </c>
      <c r="O30" s="24">
        <f t="shared" si="7"/>
        <v>1040</v>
      </c>
    </row>
    <row r="31" ht="13.5" customHeight="1">
      <c r="B31" s="38" t="s">
        <v>38</v>
      </c>
      <c r="C31" s="20">
        <v>7.0</v>
      </c>
      <c r="D31" s="21">
        <v>50.0</v>
      </c>
      <c r="E31" s="21">
        <v>50.0</v>
      </c>
      <c r="F31" s="21">
        <f t="shared" si="1"/>
        <v>300</v>
      </c>
      <c r="G31" s="22">
        <v>400.0</v>
      </c>
      <c r="H31" s="20">
        <f t="shared" si="2"/>
        <v>350</v>
      </c>
      <c r="I31" s="21">
        <f t="shared" si="3"/>
        <v>350</v>
      </c>
      <c r="J31" s="23">
        <f t="shared" si="4"/>
        <v>2800</v>
      </c>
      <c r="K31" s="21">
        <f t="shared" si="5"/>
        <v>2100</v>
      </c>
      <c r="L31" s="21">
        <v>3400.0</v>
      </c>
      <c r="M31" s="22">
        <f t="shared" si="6"/>
        <v>5500</v>
      </c>
      <c r="N31" s="22">
        <v>4703.0</v>
      </c>
      <c r="O31" s="24">
        <f t="shared" si="7"/>
        <v>797</v>
      </c>
    </row>
    <row r="32" ht="13.5" customHeight="1">
      <c r="B32" s="37" t="s">
        <v>16</v>
      </c>
      <c r="C32" s="20">
        <v>9.0</v>
      </c>
      <c r="D32" s="21">
        <v>50.0</v>
      </c>
      <c r="E32" s="21">
        <v>0.0</v>
      </c>
      <c r="F32" s="21">
        <f t="shared" si="1"/>
        <v>50</v>
      </c>
      <c r="G32" s="22">
        <v>100.0</v>
      </c>
      <c r="H32" s="20">
        <f t="shared" si="2"/>
        <v>450</v>
      </c>
      <c r="I32" s="21">
        <f t="shared" si="3"/>
        <v>0</v>
      </c>
      <c r="J32" s="23">
        <f t="shared" si="4"/>
        <v>900</v>
      </c>
      <c r="K32" s="21">
        <f t="shared" si="5"/>
        <v>450</v>
      </c>
      <c r="L32" s="21">
        <v>0.0</v>
      </c>
      <c r="M32" s="22">
        <f t="shared" si="6"/>
        <v>450</v>
      </c>
      <c r="N32" s="22">
        <v>0.0</v>
      </c>
      <c r="O32" s="24">
        <f t="shared" si="7"/>
        <v>450</v>
      </c>
    </row>
    <row r="33" ht="13.5" customHeight="1">
      <c r="B33" s="37" t="s">
        <v>39</v>
      </c>
      <c r="C33" s="20">
        <v>8.0</v>
      </c>
      <c r="D33" s="21">
        <v>50.0</v>
      </c>
      <c r="E33" s="21">
        <v>50.0</v>
      </c>
      <c r="F33" s="21">
        <f t="shared" si="1"/>
        <v>100</v>
      </c>
      <c r="G33" s="22">
        <v>200.0</v>
      </c>
      <c r="H33" s="20">
        <f t="shared" si="2"/>
        <v>400</v>
      </c>
      <c r="I33" s="21">
        <f t="shared" si="3"/>
        <v>400</v>
      </c>
      <c r="J33" s="23">
        <f t="shared" si="4"/>
        <v>1600</v>
      </c>
      <c r="K33" s="21">
        <f t="shared" si="5"/>
        <v>800</v>
      </c>
      <c r="L33" s="21">
        <v>0.0</v>
      </c>
      <c r="M33" s="22">
        <f t="shared" si="6"/>
        <v>800</v>
      </c>
      <c r="N33" s="22">
        <v>800.0</v>
      </c>
      <c r="O33" s="24">
        <f t="shared" si="7"/>
        <v>0</v>
      </c>
    </row>
    <row r="34" ht="13.5" customHeight="1">
      <c r="B34" s="37" t="s">
        <v>40</v>
      </c>
      <c r="C34" s="20">
        <v>3.0</v>
      </c>
      <c r="D34" s="21">
        <v>30.0</v>
      </c>
      <c r="E34" s="21">
        <v>0.0</v>
      </c>
      <c r="F34" s="21">
        <f t="shared" si="1"/>
        <v>0</v>
      </c>
      <c r="G34" s="22">
        <v>30.0</v>
      </c>
      <c r="H34" s="20">
        <f t="shared" si="2"/>
        <v>90</v>
      </c>
      <c r="I34" s="21">
        <f t="shared" si="3"/>
        <v>0</v>
      </c>
      <c r="J34" s="23">
        <f t="shared" si="4"/>
        <v>90</v>
      </c>
      <c r="K34" s="21">
        <f t="shared" si="5"/>
        <v>0</v>
      </c>
      <c r="L34" s="21">
        <v>0.0</v>
      </c>
      <c r="M34" s="22">
        <f t="shared" si="6"/>
        <v>0</v>
      </c>
      <c r="N34" s="22">
        <v>0.0</v>
      </c>
      <c r="O34" s="24">
        <f t="shared" si="7"/>
        <v>0</v>
      </c>
    </row>
    <row r="35" ht="13.5" customHeight="1">
      <c r="B35" s="37" t="s">
        <v>41</v>
      </c>
      <c r="C35" s="20">
        <v>7.0</v>
      </c>
      <c r="D35" s="21">
        <v>30.0</v>
      </c>
      <c r="E35" s="21">
        <v>0.0</v>
      </c>
      <c r="F35" s="21">
        <f t="shared" si="1"/>
        <v>0</v>
      </c>
      <c r="G35" s="22">
        <v>30.0</v>
      </c>
      <c r="H35" s="20">
        <f t="shared" si="2"/>
        <v>210</v>
      </c>
      <c r="I35" s="21">
        <f t="shared" si="3"/>
        <v>0</v>
      </c>
      <c r="J35" s="23">
        <f t="shared" si="4"/>
        <v>210</v>
      </c>
      <c r="K35" s="21">
        <f t="shared" si="5"/>
        <v>0</v>
      </c>
      <c r="L35" s="21">
        <v>0.0</v>
      </c>
      <c r="M35" s="22">
        <f t="shared" si="6"/>
        <v>0</v>
      </c>
      <c r="N35" s="22">
        <v>0.0</v>
      </c>
      <c r="O35" s="24">
        <f t="shared" si="7"/>
        <v>0</v>
      </c>
    </row>
    <row r="36" ht="13.5" customHeight="1">
      <c r="B36" s="37" t="s">
        <v>42</v>
      </c>
      <c r="C36" s="20">
        <v>11.0</v>
      </c>
      <c r="D36" s="21">
        <v>50.0</v>
      </c>
      <c r="E36" s="21">
        <v>50.0</v>
      </c>
      <c r="F36" s="21">
        <f t="shared" si="1"/>
        <v>400</v>
      </c>
      <c r="G36" s="22">
        <v>500.0</v>
      </c>
      <c r="H36" s="20">
        <f t="shared" si="2"/>
        <v>550</v>
      </c>
      <c r="I36" s="21">
        <f t="shared" si="3"/>
        <v>550</v>
      </c>
      <c r="J36" s="23">
        <f t="shared" si="4"/>
        <v>5500</v>
      </c>
      <c r="K36" s="21">
        <f t="shared" si="5"/>
        <v>4400</v>
      </c>
      <c r="L36" s="21">
        <v>7200.0</v>
      </c>
      <c r="M36" s="22">
        <f t="shared" si="6"/>
        <v>11600</v>
      </c>
      <c r="N36" s="22">
        <v>10126.0</v>
      </c>
      <c r="O36" s="24">
        <f t="shared" si="7"/>
        <v>1474</v>
      </c>
    </row>
    <row r="37" ht="13.5" customHeight="1">
      <c r="B37" s="37" t="s">
        <v>43</v>
      </c>
      <c r="C37" s="20">
        <v>15.0</v>
      </c>
      <c r="D37" s="21">
        <v>50.0</v>
      </c>
      <c r="E37" s="21">
        <v>50.0</v>
      </c>
      <c r="F37" s="21">
        <f t="shared" si="1"/>
        <v>200</v>
      </c>
      <c r="G37" s="22">
        <v>300.0</v>
      </c>
      <c r="H37" s="20">
        <f t="shared" si="2"/>
        <v>750</v>
      </c>
      <c r="I37" s="21">
        <f t="shared" si="3"/>
        <v>750</v>
      </c>
      <c r="J37" s="23">
        <f t="shared" si="4"/>
        <v>4500</v>
      </c>
      <c r="K37" s="21">
        <f t="shared" si="5"/>
        <v>3000</v>
      </c>
      <c r="L37" s="21">
        <v>2000.0</v>
      </c>
      <c r="M37" s="22">
        <f t="shared" si="6"/>
        <v>5000</v>
      </c>
      <c r="N37" s="22">
        <v>3995.0</v>
      </c>
      <c r="O37" s="24">
        <f t="shared" si="7"/>
        <v>1005</v>
      </c>
    </row>
    <row r="38" ht="13.5" customHeight="1">
      <c r="B38" s="39" t="s">
        <v>44</v>
      </c>
      <c r="C38" s="40">
        <v>7.0</v>
      </c>
      <c r="D38" s="41">
        <v>50.0</v>
      </c>
      <c r="E38" s="41">
        <v>50.0</v>
      </c>
      <c r="F38" s="41">
        <f t="shared" si="1"/>
        <v>300</v>
      </c>
      <c r="G38" s="42">
        <v>400.0</v>
      </c>
      <c r="H38" s="40">
        <f t="shared" si="2"/>
        <v>350</v>
      </c>
      <c r="I38" s="41">
        <f t="shared" si="3"/>
        <v>350</v>
      </c>
      <c r="J38" s="43">
        <f t="shared" si="4"/>
        <v>2800</v>
      </c>
      <c r="K38" s="41">
        <f t="shared" si="5"/>
        <v>2100</v>
      </c>
      <c r="L38" s="41">
        <v>3400.0</v>
      </c>
      <c r="M38" s="42">
        <f t="shared" si="6"/>
        <v>5500</v>
      </c>
      <c r="N38" s="42">
        <v>4703.0</v>
      </c>
      <c r="O38" s="44">
        <f t="shared" si="7"/>
        <v>797</v>
      </c>
    </row>
    <row r="39" ht="13.5" customHeight="1">
      <c r="H39" s="45">
        <f t="shared" ref="H39:O39" si="8">SUM(H4:H38)</f>
        <v>11500</v>
      </c>
      <c r="I39" s="45">
        <f t="shared" si="8"/>
        <v>7450</v>
      </c>
      <c r="J39" s="46">
        <f t="shared" si="8"/>
        <v>48100</v>
      </c>
      <c r="K39" s="45">
        <f t="shared" si="8"/>
        <v>29150</v>
      </c>
      <c r="L39" s="45">
        <f t="shared" si="8"/>
        <v>36000</v>
      </c>
      <c r="M39" s="45">
        <f t="shared" si="8"/>
        <v>65150</v>
      </c>
      <c r="N39" s="45">
        <f t="shared" si="8"/>
        <v>55407</v>
      </c>
      <c r="O39" s="47">
        <f t="shared" si="8"/>
        <v>9743</v>
      </c>
    </row>
    <row r="40" ht="13.5" customHeight="1"/>
    <row r="41" ht="13.5" customHeight="1">
      <c r="B41" s="5" t="s">
        <v>2</v>
      </c>
      <c r="C41" s="6" t="s">
        <v>3</v>
      </c>
      <c r="D41" s="7" t="s">
        <v>4</v>
      </c>
      <c r="E41" s="7" t="s">
        <v>5</v>
      </c>
      <c r="F41" s="7" t="s">
        <v>6</v>
      </c>
      <c r="G41" s="8" t="s">
        <v>7</v>
      </c>
      <c r="H41" s="7" t="s">
        <v>8</v>
      </c>
      <c r="I41" s="164" t="s">
        <v>9</v>
      </c>
      <c r="J41" s="164" t="s">
        <v>10</v>
      </c>
      <c r="K41" s="7" t="s">
        <v>11</v>
      </c>
      <c r="L41" s="10" t="s">
        <v>12</v>
      </c>
      <c r="M41" s="10" t="s">
        <v>13</v>
      </c>
      <c r="N41" s="10" t="s">
        <v>14</v>
      </c>
      <c r="O41" s="11" t="s">
        <v>15</v>
      </c>
    </row>
    <row r="42" ht="13.5" customHeight="1">
      <c r="B42" s="165" t="s">
        <v>103</v>
      </c>
      <c r="C42" s="166">
        <v>19.0</v>
      </c>
      <c r="D42" s="94">
        <v>0.0</v>
      </c>
      <c r="E42" s="94">
        <v>0.0</v>
      </c>
      <c r="F42" s="14">
        <f t="shared" ref="F42:F48" si="9">G42-E42-D42</f>
        <v>1000</v>
      </c>
      <c r="G42" s="140">
        <v>1000.0</v>
      </c>
      <c r="H42" s="13">
        <f t="shared" ref="H42:H48" si="10">D42*C42</f>
        <v>0</v>
      </c>
      <c r="I42" s="14">
        <f t="shared" ref="I42:I48" si="11">C42*E42</f>
        <v>0</v>
      </c>
      <c r="J42" s="16">
        <f t="shared" ref="J42:J48" si="12">C42*G42</f>
        <v>19000</v>
      </c>
      <c r="K42" s="14">
        <f t="shared" ref="K42:K48" si="13">F42*C42</f>
        <v>19000</v>
      </c>
      <c r="L42" s="94">
        <v>32000.0</v>
      </c>
      <c r="M42" s="15">
        <f t="shared" ref="M42:M48" si="14">L42+K42</f>
        <v>51000</v>
      </c>
      <c r="N42" s="94">
        <v>43211.84</v>
      </c>
      <c r="O42" s="17">
        <f t="shared" ref="O42:O48" si="15">M42-N42</f>
        <v>7788.16</v>
      </c>
    </row>
    <row r="43" ht="13.5" customHeight="1">
      <c r="B43" s="167" t="s">
        <v>104</v>
      </c>
      <c r="C43" s="27">
        <v>23.0</v>
      </c>
      <c r="D43" s="100">
        <v>0.0</v>
      </c>
      <c r="E43" s="100">
        <v>0.0</v>
      </c>
      <c r="F43" s="21">
        <f t="shared" si="9"/>
        <v>800</v>
      </c>
      <c r="G43" s="104">
        <v>800.0</v>
      </c>
      <c r="H43" s="20">
        <f t="shared" si="10"/>
        <v>0</v>
      </c>
      <c r="I43" s="21">
        <f t="shared" si="11"/>
        <v>0</v>
      </c>
      <c r="J43" s="23">
        <f t="shared" si="12"/>
        <v>18400</v>
      </c>
      <c r="K43" s="21">
        <f t="shared" si="13"/>
        <v>18400</v>
      </c>
      <c r="L43" s="100">
        <v>14000.0</v>
      </c>
      <c r="M43" s="22">
        <f t="shared" si="14"/>
        <v>32400</v>
      </c>
      <c r="N43" s="100">
        <v>24812.9</v>
      </c>
      <c r="O43" s="24">
        <f t="shared" si="15"/>
        <v>7587.1</v>
      </c>
    </row>
    <row r="44" ht="13.5" customHeight="1">
      <c r="B44" s="167" t="s">
        <v>105</v>
      </c>
      <c r="C44" s="27">
        <v>12.0</v>
      </c>
      <c r="D44" s="100">
        <v>0.0</v>
      </c>
      <c r="E44" s="100">
        <v>0.0</v>
      </c>
      <c r="F44" s="21">
        <f t="shared" si="9"/>
        <v>200</v>
      </c>
      <c r="G44" s="104">
        <v>200.0</v>
      </c>
      <c r="H44" s="20">
        <f t="shared" si="10"/>
        <v>0</v>
      </c>
      <c r="I44" s="21">
        <f t="shared" si="11"/>
        <v>0</v>
      </c>
      <c r="J44" s="23">
        <f t="shared" si="12"/>
        <v>2400</v>
      </c>
      <c r="K44" s="21">
        <f t="shared" si="13"/>
        <v>2400</v>
      </c>
      <c r="L44" s="100">
        <v>0.0</v>
      </c>
      <c r="M44" s="22">
        <f t="shared" si="14"/>
        <v>2400</v>
      </c>
      <c r="N44" s="100">
        <v>1596.0</v>
      </c>
      <c r="O44" s="24">
        <f t="shared" si="15"/>
        <v>804</v>
      </c>
    </row>
    <row r="45" ht="13.5" customHeight="1">
      <c r="B45" s="167" t="s">
        <v>106</v>
      </c>
      <c r="C45" s="27">
        <v>3.0</v>
      </c>
      <c r="D45" s="100">
        <v>0.0</v>
      </c>
      <c r="E45" s="100">
        <v>0.0</v>
      </c>
      <c r="F45" s="21">
        <f t="shared" si="9"/>
        <v>200</v>
      </c>
      <c r="G45" s="104">
        <v>200.0</v>
      </c>
      <c r="H45" s="20">
        <f t="shared" si="10"/>
        <v>0</v>
      </c>
      <c r="I45" s="21">
        <f t="shared" si="11"/>
        <v>0</v>
      </c>
      <c r="J45" s="23">
        <f t="shared" si="12"/>
        <v>600</v>
      </c>
      <c r="K45" s="21">
        <f t="shared" si="13"/>
        <v>600</v>
      </c>
      <c r="L45" s="100">
        <v>0.0</v>
      </c>
      <c r="M45" s="22">
        <f t="shared" si="14"/>
        <v>600</v>
      </c>
      <c r="N45" s="100">
        <v>399.0</v>
      </c>
      <c r="O45" s="24">
        <f t="shared" si="15"/>
        <v>201</v>
      </c>
    </row>
    <row r="46" ht="13.5" customHeight="1">
      <c r="B46" s="167" t="s">
        <v>107</v>
      </c>
      <c r="C46" s="27">
        <v>19.0</v>
      </c>
      <c r="D46" s="100">
        <v>0.0</v>
      </c>
      <c r="E46" s="100">
        <v>0.0</v>
      </c>
      <c r="F46" s="21">
        <f t="shared" si="9"/>
        <v>1000</v>
      </c>
      <c r="G46" s="104">
        <v>1000.0</v>
      </c>
      <c r="H46" s="20">
        <f t="shared" si="10"/>
        <v>0</v>
      </c>
      <c r="I46" s="21">
        <f t="shared" si="11"/>
        <v>0</v>
      </c>
      <c r="J46" s="23">
        <f t="shared" si="12"/>
        <v>19000</v>
      </c>
      <c r="K46" s="21">
        <f t="shared" si="13"/>
        <v>19000</v>
      </c>
      <c r="L46" s="100">
        <v>36000.0</v>
      </c>
      <c r="M46" s="22">
        <f t="shared" si="14"/>
        <v>55000</v>
      </c>
      <c r="N46" s="100">
        <v>52265.88</v>
      </c>
      <c r="O46" s="24">
        <f t="shared" si="15"/>
        <v>2734.12</v>
      </c>
    </row>
    <row r="47" ht="13.5" customHeight="1">
      <c r="B47" s="167" t="s">
        <v>108</v>
      </c>
      <c r="C47" s="27">
        <v>22.0</v>
      </c>
      <c r="D47" s="100">
        <v>0.0</v>
      </c>
      <c r="E47" s="100">
        <v>0.0</v>
      </c>
      <c r="F47" s="21">
        <f t="shared" si="9"/>
        <v>900</v>
      </c>
      <c r="G47" s="104">
        <v>900.0</v>
      </c>
      <c r="H47" s="20">
        <f t="shared" si="10"/>
        <v>0</v>
      </c>
      <c r="I47" s="21">
        <f t="shared" si="11"/>
        <v>0</v>
      </c>
      <c r="J47" s="23">
        <f t="shared" si="12"/>
        <v>19800</v>
      </c>
      <c r="K47" s="21">
        <f t="shared" si="13"/>
        <v>19800</v>
      </c>
      <c r="L47" s="100">
        <v>19000.0</v>
      </c>
      <c r="M47" s="22">
        <f t="shared" si="14"/>
        <v>38800</v>
      </c>
      <c r="N47" s="100">
        <v>32206.89</v>
      </c>
      <c r="O47" s="24">
        <f t="shared" si="15"/>
        <v>6593.11</v>
      </c>
    </row>
    <row r="48" ht="13.5" customHeight="1">
      <c r="B48" s="168" t="s">
        <v>109</v>
      </c>
      <c r="C48" s="110">
        <v>6.0</v>
      </c>
      <c r="D48" s="111">
        <v>0.0</v>
      </c>
      <c r="E48" s="111">
        <v>0.0</v>
      </c>
      <c r="F48" s="41">
        <f t="shared" si="9"/>
        <v>200</v>
      </c>
      <c r="G48" s="144">
        <v>200.0</v>
      </c>
      <c r="H48" s="40">
        <f t="shared" si="10"/>
        <v>0</v>
      </c>
      <c r="I48" s="41">
        <f t="shared" si="11"/>
        <v>0</v>
      </c>
      <c r="J48" s="43">
        <f t="shared" si="12"/>
        <v>1200</v>
      </c>
      <c r="K48" s="41">
        <f t="shared" si="13"/>
        <v>1200</v>
      </c>
      <c r="L48" s="111">
        <v>0.0</v>
      </c>
      <c r="M48" s="42">
        <f t="shared" si="14"/>
        <v>1200</v>
      </c>
      <c r="N48" s="111">
        <v>798.0</v>
      </c>
      <c r="O48" s="44">
        <f t="shared" si="15"/>
        <v>402</v>
      </c>
    </row>
    <row r="49" ht="13.5" customHeight="1">
      <c r="C49" s="45">
        <f>SUM(C42:C48)</f>
        <v>104</v>
      </c>
      <c r="J49" s="45">
        <f>SUM(J42:J48)</f>
        <v>80400</v>
      </c>
      <c r="L49" s="45">
        <f t="shared" ref="L49:O49" si="16">SUM(L42:L48)</f>
        <v>101000</v>
      </c>
      <c r="M49" s="45">
        <f t="shared" si="16"/>
        <v>181400</v>
      </c>
      <c r="N49" s="45">
        <f t="shared" si="16"/>
        <v>155290.51</v>
      </c>
      <c r="O49" s="47">
        <f t="shared" si="16"/>
        <v>26109.49</v>
      </c>
    </row>
    <row r="50" ht="13.5" customHeight="1"/>
    <row r="51" ht="13.5" customHeight="1">
      <c r="B51" s="48" t="s">
        <v>45</v>
      </c>
      <c r="C51" s="28">
        <f>SUM(C4:C38)-C4-C13-C21-C26-C32</f>
        <v>214</v>
      </c>
    </row>
    <row r="52" ht="13.5" customHeight="1">
      <c r="B52" s="49" t="s">
        <v>46</v>
      </c>
      <c r="C52" s="28">
        <v>124270.0</v>
      </c>
      <c r="P52" s="28"/>
    </row>
    <row r="53" ht="13.5" customHeight="1">
      <c r="B53" s="50" t="s">
        <v>110</v>
      </c>
      <c r="C53" s="51">
        <v>4720.0</v>
      </c>
      <c r="P53" s="28"/>
    </row>
    <row r="54" ht="13.5" customHeight="1">
      <c r="B54" s="49" t="s">
        <v>89</v>
      </c>
      <c r="C54" s="28">
        <v>30.0</v>
      </c>
      <c r="P54" s="28"/>
    </row>
    <row r="55" ht="13.5" customHeight="1">
      <c r="B55" s="49" t="s">
        <v>48</v>
      </c>
      <c r="C55" s="28">
        <v>-520.0</v>
      </c>
    </row>
    <row r="56" ht="13.5" customHeight="1">
      <c r="B56" s="52" t="s">
        <v>49</v>
      </c>
      <c r="C56" s="46">
        <f>C52+C53+C54+C55</f>
        <v>128500</v>
      </c>
    </row>
    <row r="57" ht="13.5" customHeight="1">
      <c r="C57" s="28"/>
    </row>
    <row r="58" ht="13.5" customHeight="1">
      <c r="B58" s="52" t="s">
        <v>50</v>
      </c>
      <c r="C58" s="46">
        <f>I39</f>
        <v>7450</v>
      </c>
    </row>
    <row r="59" ht="13.5" customHeight="1">
      <c r="B59" s="52" t="s">
        <v>51</v>
      </c>
      <c r="C59" s="46">
        <f>H39</f>
        <v>11500</v>
      </c>
    </row>
    <row r="60" ht="13.5" customHeight="1">
      <c r="B60" s="52" t="s">
        <v>52</v>
      </c>
      <c r="C60" s="46">
        <f>K39</f>
        <v>29150</v>
      </c>
    </row>
    <row r="61" ht="13.5" customHeight="1">
      <c r="C61" s="28"/>
    </row>
    <row r="62" ht="13.5" customHeight="1">
      <c r="B62" s="53" t="s">
        <v>111</v>
      </c>
      <c r="C62" s="54">
        <f>SUM(L4:L20)</f>
        <v>10400</v>
      </c>
    </row>
    <row r="63" ht="13.5" customHeight="1">
      <c r="B63" s="55" t="s">
        <v>112</v>
      </c>
      <c r="C63" s="56">
        <f>SUM(L21:L38)</f>
        <v>25600</v>
      </c>
    </row>
    <row r="64" ht="13.5" customHeight="1">
      <c r="A64" s="57"/>
      <c r="B64" s="49" t="s">
        <v>55</v>
      </c>
      <c r="C64" s="58">
        <f>C63+C62+C60</f>
        <v>65150</v>
      </c>
    </row>
    <row r="65" ht="13.5" customHeight="1">
      <c r="A65" s="59"/>
    </row>
    <row r="66" ht="13.5" customHeight="1">
      <c r="A66" s="60"/>
      <c r="B66" s="61" t="s">
        <v>56</v>
      </c>
      <c r="C66" s="61">
        <f>C58*70%</f>
        <v>5215</v>
      </c>
    </row>
    <row r="67" ht="13.5" customHeight="1">
      <c r="A67" s="60"/>
      <c r="C67" s="62"/>
    </row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B1:O1"/>
    <mergeCell ref="B2:O2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30.63"/>
    <col customWidth="1" min="2" max="26" width="8.63"/>
  </cols>
  <sheetData>
    <row r="1" ht="13.5" customHeight="1">
      <c r="A1" s="63" t="s">
        <v>102</v>
      </c>
    </row>
    <row r="2" ht="13.5" customHeight="1">
      <c r="A2" s="64" t="s">
        <v>113</v>
      </c>
      <c r="B2" s="65"/>
      <c r="C2" s="65"/>
      <c r="D2" s="66"/>
    </row>
    <row r="3" ht="13.5" customHeight="1">
      <c r="A3" s="67"/>
      <c r="B3" s="169" t="s">
        <v>3</v>
      </c>
      <c r="C3" s="69" t="s">
        <v>59</v>
      </c>
      <c r="D3" s="69" t="s">
        <v>7</v>
      </c>
      <c r="E3" s="69" t="s">
        <v>60</v>
      </c>
      <c r="F3" s="69" t="s">
        <v>61</v>
      </c>
      <c r="G3" s="69" t="s">
        <v>62</v>
      </c>
      <c r="H3" s="70" t="s">
        <v>63</v>
      </c>
    </row>
    <row r="4" ht="13.5" customHeight="1">
      <c r="A4" s="124" t="s">
        <v>101</v>
      </c>
      <c r="B4" s="76">
        <v>10.0</v>
      </c>
      <c r="C4" s="73">
        <v>170.0</v>
      </c>
      <c r="D4" s="74">
        <v>0.0</v>
      </c>
      <c r="E4" s="75">
        <f t="shared" ref="E4:E7" si="1">C4+D4</f>
        <v>170</v>
      </c>
      <c r="F4" s="76">
        <f t="shared" ref="F4:F64" si="2">E4*B4</f>
        <v>1700</v>
      </c>
      <c r="G4" s="73">
        <f t="shared" ref="G4:G64" si="3">C4*B4</f>
        <v>1700</v>
      </c>
      <c r="H4" s="77">
        <f t="shared" ref="H4:H64" si="4">D4*B4</f>
        <v>0</v>
      </c>
    </row>
    <row r="5" ht="13.5" customHeight="1">
      <c r="A5" s="125" t="s">
        <v>65</v>
      </c>
      <c r="B5" s="83">
        <v>54.0</v>
      </c>
      <c r="C5" s="80">
        <v>240.0</v>
      </c>
      <c r="D5" s="81">
        <v>0.0</v>
      </c>
      <c r="E5" s="82">
        <f t="shared" si="1"/>
        <v>240</v>
      </c>
      <c r="F5" s="83">
        <f t="shared" si="2"/>
        <v>12960</v>
      </c>
      <c r="G5" s="80">
        <f t="shared" si="3"/>
        <v>12960</v>
      </c>
      <c r="H5" s="84">
        <f t="shared" si="4"/>
        <v>0</v>
      </c>
    </row>
    <row r="6" ht="13.5" customHeight="1">
      <c r="A6" s="125" t="s">
        <v>67</v>
      </c>
      <c r="B6" s="83">
        <v>12.0</v>
      </c>
      <c r="C6" s="80">
        <v>240.0</v>
      </c>
      <c r="D6" s="81">
        <v>0.0</v>
      </c>
      <c r="E6" s="82">
        <f t="shared" si="1"/>
        <v>240</v>
      </c>
      <c r="F6" s="83">
        <f t="shared" si="2"/>
        <v>2880</v>
      </c>
      <c r="G6" s="80">
        <f t="shared" si="3"/>
        <v>2880</v>
      </c>
      <c r="H6" s="84">
        <f t="shared" si="4"/>
        <v>0</v>
      </c>
    </row>
    <row r="7" ht="13.5" customHeight="1">
      <c r="A7" s="151" t="s">
        <v>66</v>
      </c>
      <c r="B7" s="152">
        <v>0.0</v>
      </c>
      <c r="C7" s="87">
        <v>170.0</v>
      </c>
      <c r="D7" s="88">
        <v>0.0</v>
      </c>
      <c r="E7" s="153">
        <f t="shared" si="1"/>
        <v>170</v>
      </c>
      <c r="F7" s="152">
        <f t="shared" si="2"/>
        <v>0</v>
      </c>
      <c r="G7" s="87">
        <f t="shared" si="3"/>
        <v>0</v>
      </c>
      <c r="H7" s="154">
        <f t="shared" si="4"/>
        <v>0</v>
      </c>
    </row>
    <row r="8" ht="13.5" customHeight="1">
      <c r="A8" s="170" t="s">
        <v>16</v>
      </c>
      <c r="B8" s="139">
        <v>9.0</v>
      </c>
      <c r="C8" s="94">
        <v>200.0</v>
      </c>
      <c r="D8" s="17">
        <f t="shared" ref="D8:D15" si="5">E8-C8</f>
        <v>100</v>
      </c>
      <c r="E8" s="16">
        <v>300.0</v>
      </c>
      <c r="F8" s="139">
        <f t="shared" si="2"/>
        <v>2700</v>
      </c>
      <c r="G8" s="94">
        <f t="shared" si="3"/>
        <v>1800</v>
      </c>
      <c r="H8" s="140">
        <f t="shared" si="4"/>
        <v>900</v>
      </c>
    </row>
    <row r="9" ht="13.5" customHeight="1">
      <c r="A9" s="120" t="s">
        <v>30</v>
      </c>
      <c r="B9" s="106">
        <v>8.0</v>
      </c>
      <c r="C9" s="100">
        <v>200.0</v>
      </c>
      <c r="D9" s="24">
        <f t="shared" si="5"/>
        <v>200</v>
      </c>
      <c r="E9" s="23">
        <v>400.0</v>
      </c>
      <c r="F9" s="96">
        <f t="shared" si="2"/>
        <v>3200</v>
      </c>
      <c r="G9" s="97">
        <f t="shared" si="3"/>
        <v>1600</v>
      </c>
      <c r="H9" s="98">
        <f t="shared" si="4"/>
        <v>1600</v>
      </c>
    </row>
    <row r="10" ht="13.5" customHeight="1">
      <c r="A10" s="120" t="s">
        <v>31</v>
      </c>
      <c r="B10" s="106">
        <v>7.0</v>
      </c>
      <c r="C10" s="100">
        <v>200.0</v>
      </c>
      <c r="D10" s="24">
        <f t="shared" si="5"/>
        <v>200</v>
      </c>
      <c r="E10" s="23">
        <v>400.0</v>
      </c>
      <c r="F10" s="96">
        <f t="shared" si="2"/>
        <v>2800</v>
      </c>
      <c r="G10" s="97">
        <f t="shared" si="3"/>
        <v>1400</v>
      </c>
      <c r="H10" s="98">
        <f t="shared" si="4"/>
        <v>1400</v>
      </c>
    </row>
    <row r="11" ht="13.5" customHeight="1">
      <c r="A11" s="120" t="s">
        <v>25</v>
      </c>
      <c r="B11" s="106">
        <v>1.0</v>
      </c>
      <c r="C11" s="100">
        <v>200.0</v>
      </c>
      <c r="D11" s="24">
        <f t="shared" si="5"/>
        <v>300</v>
      </c>
      <c r="E11" s="23">
        <v>500.0</v>
      </c>
      <c r="F11" s="96">
        <f t="shared" si="2"/>
        <v>500</v>
      </c>
      <c r="G11" s="97">
        <f t="shared" si="3"/>
        <v>200</v>
      </c>
      <c r="H11" s="98">
        <f t="shared" si="4"/>
        <v>300</v>
      </c>
    </row>
    <row r="12" ht="13.5" customHeight="1">
      <c r="A12" s="120" t="s">
        <v>26</v>
      </c>
      <c r="B12" s="106">
        <v>9.0</v>
      </c>
      <c r="C12" s="100">
        <v>200.0</v>
      </c>
      <c r="D12" s="24">
        <f t="shared" si="5"/>
        <v>250</v>
      </c>
      <c r="E12" s="23">
        <v>450.0</v>
      </c>
      <c r="F12" s="96">
        <f t="shared" si="2"/>
        <v>4050</v>
      </c>
      <c r="G12" s="97">
        <f t="shared" si="3"/>
        <v>1800</v>
      </c>
      <c r="H12" s="98">
        <f t="shared" si="4"/>
        <v>2250</v>
      </c>
    </row>
    <row r="13" ht="13.5" customHeight="1">
      <c r="A13" s="120" t="s">
        <v>27</v>
      </c>
      <c r="B13" s="106">
        <v>4.0</v>
      </c>
      <c r="C13" s="100">
        <v>200.0</v>
      </c>
      <c r="D13" s="24">
        <f t="shared" si="5"/>
        <v>250</v>
      </c>
      <c r="E13" s="23">
        <v>450.0</v>
      </c>
      <c r="F13" s="96">
        <f t="shared" si="2"/>
        <v>1800</v>
      </c>
      <c r="G13" s="97">
        <f t="shared" si="3"/>
        <v>800</v>
      </c>
      <c r="H13" s="98">
        <f t="shared" si="4"/>
        <v>1000</v>
      </c>
    </row>
    <row r="14" ht="13.5" customHeight="1">
      <c r="A14" s="120" t="s">
        <v>28</v>
      </c>
      <c r="B14" s="106">
        <v>2.0</v>
      </c>
      <c r="C14" s="100">
        <v>170.0</v>
      </c>
      <c r="D14" s="24">
        <f t="shared" si="5"/>
        <v>30</v>
      </c>
      <c r="E14" s="23">
        <v>200.0</v>
      </c>
      <c r="F14" s="96">
        <f t="shared" si="2"/>
        <v>400</v>
      </c>
      <c r="G14" s="97">
        <f t="shared" si="3"/>
        <v>340</v>
      </c>
      <c r="H14" s="98">
        <f t="shared" si="4"/>
        <v>60</v>
      </c>
    </row>
    <row r="15" ht="13.5" customHeight="1">
      <c r="A15" s="171" t="s">
        <v>29</v>
      </c>
      <c r="B15" s="143">
        <v>1.0</v>
      </c>
      <c r="C15" s="111">
        <v>170.0</v>
      </c>
      <c r="D15" s="44">
        <f t="shared" si="5"/>
        <v>30</v>
      </c>
      <c r="E15" s="43">
        <v>200.0</v>
      </c>
      <c r="F15" s="172">
        <f t="shared" si="2"/>
        <v>200</v>
      </c>
      <c r="G15" s="173">
        <f t="shared" si="3"/>
        <v>170</v>
      </c>
      <c r="H15" s="174">
        <f t="shared" si="4"/>
        <v>30</v>
      </c>
    </row>
    <row r="16" ht="13.5" customHeight="1">
      <c r="A16" s="175" t="s">
        <v>71</v>
      </c>
      <c r="B16" s="147">
        <v>0.0</v>
      </c>
      <c r="C16" s="113">
        <v>170.0</v>
      </c>
      <c r="D16" s="114">
        <v>0.0</v>
      </c>
      <c r="E16" s="146">
        <f t="shared" ref="E16:E19" si="6">C16+D16</f>
        <v>170</v>
      </c>
      <c r="F16" s="147">
        <f t="shared" si="2"/>
        <v>0</v>
      </c>
      <c r="G16" s="113">
        <f t="shared" si="3"/>
        <v>0</v>
      </c>
      <c r="H16" s="148">
        <f t="shared" si="4"/>
        <v>0</v>
      </c>
    </row>
    <row r="17" ht="13.5" customHeight="1">
      <c r="A17" s="125" t="s">
        <v>72</v>
      </c>
      <c r="B17" s="83">
        <v>12.0</v>
      </c>
      <c r="C17" s="80">
        <v>240.0</v>
      </c>
      <c r="D17" s="81">
        <v>0.0</v>
      </c>
      <c r="E17" s="82">
        <f t="shared" si="6"/>
        <v>240</v>
      </c>
      <c r="F17" s="83">
        <f t="shared" si="2"/>
        <v>2880</v>
      </c>
      <c r="G17" s="80">
        <f t="shared" si="3"/>
        <v>2880</v>
      </c>
      <c r="H17" s="84">
        <f t="shared" si="4"/>
        <v>0</v>
      </c>
    </row>
    <row r="18" ht="13.5" customHeight="1">
      <c r="A18" s="125" t="s">
        <v>73</v>
      </c>
      <c r="B18" s="83">
        <v>10.0</v>
      </c>
      <c r="C18" s="80">
        <v>240.0</v>
      </c>
      <c r="D18" s="81">
        <v>0.0</v>
      </c>
      <c r="E18" s="82">
        <f t="shared" si="6"/>
        <v>240</v>
      </c>
      <c r="F18" s="83">
        <f t="shared" si="2"/>
        <v>2400</v>
      </c>
      <c r="G18" s="80">
        <f t="shared" si="3"/>
        <v>2400</v>
      </c>
      <c r="H18" s="84">
        <f t="shared" si="4"/>
        <v>0</v>
      </c>
    </row>
    <row r="19" ht="13.5" customHeight="1">
      <c r="A19" s="126" t="s">
        <v>74</v>
      </c>
      <c r="B19" s="90">
        <v>0.0</v>
      </c>
      <c r="C19" s="91">
        <v>170.0</v>
      </c>
      <c r="D19" s="116">
        <v>0.0</v>
      </c>
      <c r="E19" s="89">
        <f t="shared" si="6"/>
        <v>170</v>
      </c>
      <c r="F19" s="90">
        <f t="shared" si="2"/>
        <v>0</v>
      </c>
      <c r="G19" s="91">
        <f t="shared" si="3"/>
        <v>0</v>
      </c>
      <c r="H19" s="92">
        <f t="shared" si="4"/>
        <v>0</v>
      </c>
    </row>
    <row r="20" ht="13.5" customHeight="1">
      <c r="A20" s="170" t="s">
        <v>114</v>
      </c>
      <c r="B20" s="176">
        <v>7.0</v>
      </c>
      <c r="C20" s="94">
        <v>200.0</v>
      </c>
      <c r="D20" s="14">
        <f t="shared" ref="D20:D32" si="7">E20-C20</f>
        <v>100</v>
      </c>
      <c r="E20" s="94">
        <v>300.0</v>
      </c>
      <c r="F20" s="94">
        <f t="shared" si="2"/>
        <v>2100</v>
      </c>
      <c r="G20" s="94">
        <f t="shared" si="3"/>
        <v>1400</v>
      </c>
      <c r="H20" s="140">
        <f t="shared" si="4"/>
        <v>700</v>
      </c>
    </row>
    <row r="21" ht="13.5" customHeight="1">
      <c r="A21" s="117" t="s">
        <v>30</v>
      </c>
      <c r="B21" s="106">
        <v>8.0</v>
      </c>
      <c r="C21" s="100">
        <v>200.0</v>
      </c>
      <c r="D21" s="21">
        <f t="shared" si="7"/>
        <v>200</v>
      </c>
      <c r="E21" s="100">
        <v>400.0</v>
      </c>
      <c r="F21" s="21">
        <f t="shared" si="2"/>
        <v>3200</v>
      </c>
      <c r="G21" s="100">
        <f t="shared" si="3"/>
        <v>1600</v>
      </c>
      <c r="H21" s="104">
        <f t="shared" si="4"/>
        <v>1600</v>
      </c>
    </row>
    <row r="22" ht="13.5" customHeight="1">
      <c r="A22" s="117" t="s">
        <v>31</v>
      </c>
      <c r="B22" s="106">
        <v>9.0</v>
      </c>
      <c r="C22" s="100">
        <v>200.0</v>
      </c>
      <c r="D22" s="21">
        <f t="shared" si="7"/>
        <v>200</v>
      </c>
      <c r="E22" s="100">
        <v>400.0</v>
      </c>
      <c r="F22" s="21">
        <f t="shared" si="2"/>
        <v>3600</v>
      </c>
      <c r="G22" s="100">
        <f t="shared" si="3"/>
        <v>1800</v>
      </c>
      <c r="H22" s="104">
        <f t="shared" si="4"/>
        <v>1800</v>
      </c>
    </row>
    <row r="23" ht="13.5" customHeight="1">
      <c r="A23" s="117" t="s">
        <v>92</v>
      </c>
      <c r="B23" s="106">
        <v>9.0</v>
      </c>
      <c r="C23" s="100">
        <v>200.0</v>
      </c>
      <c r="D23" s="21">
        <f t="shared" si="7"/>
        <v>100</v>
      </c>
      <c r="E23" s="100">
        <v>300.0</v>
      </c>
      <c r="F23" s="21">
        <f t="shared" si="2"/>
        <v>2700</v>
      </c>
      <c r="G23" s="100">
        <f t="shared" si="3"/>
        <v>1800</v>
      </c>
      <c r="H23" s="104">
        <f t="shared" si="4"/>
        <v>900</v>
      </c>
    </row>
    <row r="24" ht="13.5" customHeight="1">
      <c r="A24" s="117" t="s">
        <v>42</v>
      </c>
      <c r="B24" s="106">
        <v>11.0</v>
      </c>
      <c r="C24" s="100">
        <v>200.0</v>
      </c>
      <c r="D24" s="21">
        <f t="shared" si="7"/>
        <v>500</v>
      </c>
      <c r="E24" s="100">
        <v>700.0</v>
      </c>
      <c r="F24" s="21">
        <f t="shared" si="2"/>
        <v>7700</v>
      </c>
      <c r="G24" s="100">
        <f t="shared" si="3"/>
        <v>2200</v>
      </c>
      <c r="H24" s="104">
        <f t="shared" si="4"/>
        <v>5500</v>
      </c>
    </row>
    <row r="25" ht="13.5" customHeight="1">
      <c r="A25" s="117" t="s">
        <v>43</v>
      </c>
      <c r="B25" s="106">
        <v>15.0</v>
      </c>
      <c r="C25" s="100">
        <v>200.0</v>
      </c>
      <c r="D25" s="21">
        <f t="shared" si="7"/>
        <v>300</v>
      </c>
      <c r="E25" s="100">
        <v>500.0</v>
      </c>
      <c r="F25" s="21">
        <f t="shared" si="2"/>
        <v>7500</v>
      </c>
      <c r="G25" s="100">
        <f t="shared" si="3"/>
        <v>3000</v>
      </c>
      <c r="H25" s="104">
        <f t="shared" si="4"/>
        <v>4500</v>
      </c>
    </row>
    <row r="26" ht="13.5" customHeight="1">
      <c r="A26" s="117" t="s">
        <v>44</v>
      </c>
      <c r="B26" s="106">
        <v>7.0</v>
      </c>
      <c r="C26" s="100">
        <v>200.0</v>
      </c>
      <c r="D26" s="21">
        <f t="shared" si="7"/>
        <v>400</v>
      </c>
      <c r="E26" s="100">
        <v>600.0</v>
      </c>
      <c r="F26" s="21">
        <f t="shared" si="2"/>
        <v>4200</v>
      </c>
      <c r="G26" s="100">
        <f t="shared" si="3"/>
        <v>1400</v>
      </c>
      <c r="H26" s="104">
        <f t="shared" si="4"/>
        <v>2800</v>
      </c>
    </row>
    <row r="27" ht="13.5" customHeight="1">
      <c r="A27" s="117" t="s">
        <v>41</v>
      </c>
      <c r="B27" s="106">
        <v>7.0</v>
      </c>
      <c r="C27" s="100">
        <v>170.0</v>
      </c>
      <c r="D27" s="21">
        <f t="shared" si="7"/>
        <v>30</v>
      </c>
      <c r="E27" s="100">
        <v>200.0</v>
      </c>
      <c r="F27" s="21">
        <f t="shared" si="2"/>
        <v>1400</v>
      </c>
      <c r="G27" s="100">
        <f t="shared" si="3"/>
        <v>1190</v>
      </c>
      <c r="H27" s="104">
        <f t="shared" si="4"/>
        <v>210</v>
      </c>
    </row>
    <row r="28" ht="13.5" customHeight="1">
      <c r="A28" s="117" t="s">
        <v>40</v>
      </c>
      <c r="B28" s="106">
        <v>3.0</v>
      </c>
      <c r="C28" s="100">
        <v>170.0</v>
      </c>
      <c r="D28" s="21">
        <f t="shared" si="7"/>
        <v>30</v>
      </c>
      <c r="E28" s="100">
        <v>200.0</v>
      </c>
      <c r="F28" s="21">
        <f t="shared" si="2"/>
        <v>600</v>
      </c>
      <c r="G28" s="100">
        <f t="shared" si="3"/>
        <v>510</v>
      </c>
      <c r="H28" s="104">
        <f t="shared" si="4"/>
        <v>90</v>
      </c>
    </row>
    <row r="29" ht="13.5" customHeight="1">
      <c r="A29" s="117" t="s">
        <v>103</v>
      </c>
      <c r="B29" s="106">
        <v>19.0</v>
      </c>
      <c r="C29" s="100">
        <v>400.0</v>
      </c>
      <c r="D29" s="21">
        <f t="shared" si="7"/>
        <v>1000</v>
      </c>
      <c r="E29" s="100">
        <v>1400.0</v>
      </c>
      <c r="F29" s="100">
        <f t="shared" si="2"/>
        <v>26600</v>
      </c>
      <c r="G29" s="100">
        <f t="shared" si="3"/>
        <v>7600</v>
      </c>
      <c r="H29" s="104">
        <f t="shared" si="4"/>
        <v>19000</v>
      </c>
    </row>
    <row r="30" ht="13.5" customHeight="1">
      <c r="A30" s="117" t="s">
        <v>104</v>
      </c>
      <c r="B30" s="106">
        <v>23.0</v>
      </c>
      <c r="C30" s="100">
        <v>200.0</v>
      </c>
      <c r="D30" s="21">
        <f t="shared" si="7"/>
        <v>800</v>
      </c>
      <c r="E30" s="100">
        <v>1000.0</v>
      </c>
      <c r="F30" s="100">
        <f t="shared" si="2"/>
        <v>23000</v>
      </c>
      <c r="G30" s="100">
        <f t="shared" si="3"/>
        <v>4600</v>
      </c>
      <c r="H30" s="104">
        <f t="shared" si="4"/>
        <v>18400</v>
      </c>
    </row>
    <row r="31" ht="13.5" customHeight="1">
      <c r="A31" s="117" t="s">
        <v>105</v>
      </c>
      <c r="B31" s="106">
        <v>12.0</v>
      </c>
      <c r="C31" s="100">
        <v>200.0</v>
      </c>
      <c r="D31" s="21">
        <f t="shared" si="7"/>
        <v>200</v>
      </c>
      <c r="E31" s="100">
        <v>400.0</v>
      </c>
      <c r="F31" s="100">
        <f t="shared" si="2"/>
        <v>4800</v>
      </c>
      <c r="G31" s="100">
        <f t="shared" si="3"/>
        <v>2400</v>
      </c>
      <c r="H31" s="104">
        <f t="shared" si="4"/>
        <v>2400</v>
      </c>
    </row>
    <row r="32" ht="13.5" customHeight="1">
      <c r="A32" s="117" t="s">
        <v>106</v>
      </c>
      <c r="B32" s="106">
        <v>3.0</v>
      </c>
      <c r="C32" s="100">
        <v>200.0</v>
      </c>
      <c r="D32" s="21">
        <f t="shared" si="7"/>
        <v>200</v>
      </c>
      <c r="E32" s="100">
        <v>400.0</v>
      </c>
      <c r="F32" s="100">
        <f t="shared" si="2"/>
        <v>1200</v>
      </c>
      <c r="G32" s="100">
        <f t="shared" si="3"/>
        <v>600</v>
      </c>
      <c r="H32" s="104">
        <f t="shared" si="4"/>
        <v>600</v>
      </c>
    </row>
    <row r="33" ht="13.5" customHeight="1">
      <c r="A33" s="124" t="s">
        <v>78</v>
      </c>
      <c r="B33" s="76">
        <v>0.0</v>
      </c>
      <c r="C33" s="73">
        <v>170.0</v>
      </c>
      <c r="D33" s="74">
        <v>0.0</v>
      </c>
      <c r="E33" s="75">
        <f t="shared" ref="E33:E36" si="8">C33+D33</f>
        <v>170</v>
      </c>
      <c r="F33" s="76">
        <f t="shared" si="2"/>
        <v>0</v>
      </c>
      <c r="G33" s="73">
        <f t="shared" si="3"/>
        <v>0</v>
      </c>
      <c r="H33" s="77">
        <f t="shared" si="4"/>
        <v>0</v>
      </c>
    </row>
    <row r="34" ht="13.5" customHeight="1">
      <c r="A34" s="125" t="s">
        <v>79</v>
      </c>
      <c r="B34" s="83">
        <v>4.0</v>
      </c>
      <c r="C34" s="80">
        <v>240.0</v>
      </c>
      <c r="D34" s="81">
        <v>0.0</v>
      </c>
      <c r="E34" s="82">
        <f t="shared" si="8"/>
        <v>240</v>
      </c>
      <c r="F34" s="83">
        <f t="shared" si="2"/>
        <v>960</v>
      </c>
      <c r="G34" s="80">
        <f t="shared" si="3"/>
        <v>960</v>
      </c>
      <c r="H34" s="84">
        <f t="shared" si="4"/>
        <v>0</v>
      </c>
    </row>
    <row r="35" ht="13.5" customHeight="1">
      <c r="A35" s="125" t="s">
        <v>80</v>
      </c>
      <c r="B35" s="83">
        <v>3.0</v>
      </c>
      <c r="C35" s="80">
        <v>240.0</v>
      </c>
      <c r="D35" s="81">
        <v>0.0</v>
      </c>
      <c r="E35" s="82">
        <f t="shared" si="8"/>
        <v>240</v>
      </c>
      <c r="F35" s="83">
        <f t="shared" si="2"/>
        <v>720</v>
      </c>
      <c r="G35" s="80">
        <f t="shared" si="3"/>
        <v>720</v>
      </c>
      <c r="H35" s="84">
        <f t="shared" si="4"/>
        <v>0</v>
      </c>
    </row>
    <row r="36" ht="13.5" customHeight="1">
      <c r="A36" s="126" t="s">
        <v>81</v>
      </c>
      <c r="B36" s="90">
        <v>0.0</v>
      </c>
      <c r="C36" s="91">
        <v>170.0</v>
      </c>
      <c r="D36" s="116">
        <v>0.0</v>
      </c>
      <c r="E36" s="89">
        <f t="shared" si="8"/>
        <v>170</v>
      </c>
      <c r="F36" s="90">
        <f t="shared" si="2"/>
        <v>0</v>
      </c>
      <c r="G36" s="91">
        <f t="shared" si="3"/>
        <v>0</v>
      </c>
      <c r="H36" s="92">
        <f t="shared" si="4"/>
        <v>0</v>
      </c>
    </row>
    <row r="37" ht="13.5" customHeight="1">
      <c r="A37" s="117" t="s">
        <v>16</v>
      </c>
      <c r="B37" s="106">
        <v>10.0</v>
      </c>
      <c r="C37" s="100">
        <v>200.0</v>
      </c>
      <c r="D37" s="24">
        <f t="shared" ref="D37:D45" si="9">E37-C37</f>
        <v>100</v>
      </c>
      <c r="E37" s="23">
        <v>300.0</v>
      </c>
      <c r="F37" s="96">
        <f t="shared" si="2"/>
        <v>3000</v>
      </c>
      <c r="G37" s="97">
        <f t="shared" si="3"/>
        <v>2000</v>
      </c>
      <c r="H37" s="98">
        <f t="shared" si="4"/>
        <v>1000</v>
      </c>
    </row>
    <row r="38" ht="13.5" customHeight="1">
      <c r="A38" s="120" t="s">
        <v>18</v>
      </c>
      <c r="B38" s="106">
        <v>7.0</v>
      </c>
      <c r="C38" s="100">
        <v>200.0</v>
      </c>
      <c r="D38" s="24">
        <f t="shared" si="9"/>
        <v>200</v>
      </c>
      <c r="E38" s="23">
        <v>400.0</v>
      </c>
      <c r="F38" s="106">
        <f t="shared" si="2"/>
        <v>2800</v>
      </c>
      <c r="G38" s="100">
        <f t="shared" si="3"/>
        <v>1400</v>
      </c>
      <c r="H38" s="104">
        <f t="shared" si="4"/>
        <v>1400</v>
      </c>
    </row>
    <row r="39" ht="13.5" customHeight="1">
      <c r="A39" s="117" t="s">
        <v>17</v>
      </c>
      <c r="B39" s="106">
        <v>8.0</v>
      </c>
      <c r="C39" s="100">
        <v>150.0</v>
      </c>
      <c r="D39" s="24">
        <f t="shared" si="9"/>
        <v>150</v>
      </c>
      <c r="E39" s="23">
        <v>300.0</v>
      </c>
      <c r="F39" s="96">
        <f t="shared" si="2"/>
        <v>2400</v>
      </c>
      <c r="G39" s="97">
        <f t="shared" si="3"/>
        <v>1200</v>
      </c>
      <c r="H39" s="98">
        <f t="shared" si="4"/>
        <v>1200</v>
      </c>
    </row>
    <row r="40" ht="13.5" customHeight="1">
      <c r="A40" s="117" t="s">
        <v>19</v>
      </c>
      <c r="B40" s="106">
        <v>19.0</v>
      </c>
      <c r="C40" s="100">
        <v>170.0</v>
      </c>
      <c r="D40" s="24">
        <f t="shared" si="9"/>
        <v>30</v>
      </c>
      <c r="E40" s="23">
        <v>200.0</v>
      </c>
      <c r="F40" s="96">
        <f t="shared" si="2"/>
        <v>3800</v>
      </c>
      <c r="G40" s="97">
        <f t="shared" si="3"/>
        <v>3230</v>
      </c>
      <c r="H40" s="98">
        <f t="shared" si="4"/>
        <v>570</v>
      </c>
    </row>
    <row r="41" ht="13.5" customHeight="1">
      <c r="A41" s="118" t="s">
        <v>20</v>
      </c>
      <c r="B41" s="106">
        <v>8.0</v>
      </c>
      <c r="C41" s="100">
        <v>170.0</v>
      </c>
      <c r="D41" s="24">
        <f t="shared" si="9"/>
        <v>30</v>
      </c>
      <c r="E41" s="23">
        <v>200.0</v>
      </c>
      <c r="F41" s="96">
        <f t="shared" si="2"/>
        <v>1600</v>
      </c>
      <c r="G41" s="97">
        <f t="shared" si="3"/>
        <v>1360</v>
      </c>
      <c r="H41" s="98">
        <f t="shared" si="4"/>
        <v>240</v>
      </c>
    </row>
    <row r="42" ht="13.5" customHeight="1">
      <c r="A42" s="120" t="s">
        <v>21</v>
      </c>
      <c r="B42" s="106">
        <v>4.0</v>
      </c>
      <c r="C42" s="100">
        <v>200.0</v>
      </c>
      <c r="D42" s="24">
        <f t="shared" si="9"/>
        <v>200</v>
      </c>
      <c r="E42" s="23">
        <v>400.0</v>
      </c>
      <c r="F42" s="96">
        <f t="shared" si="2"/>
        <v>1600</v>
      </c>
      <c r="G42" s="97">
        <f t="shared" si="3"/>
        <v>800</v>
      </c>
      <c r="H42" s="98">
        <f t="shared" si="4"/>
        <v>800</v>
      </c>
    </row>
    <row r="43" ht="13.5" customHeight="1">
      <c r="A43" s="177" t="s">
        <v>22</v>
      </c>
      <c r="B43" s="105">
        <v>2.0</v>
      </c>
      <c r="C43" s="100">
        <v>200.0</v>
      </c>
      <c r="D43" s="24">
        <f t="shared" si="9"/>
        <v>300</v>
      </c>
      <c r="E43" s="95">
        <v>500.0</v>
      </c>
      <c r="F43" s="96">
        <f t="shared" si="2"/>
        <v>1000</v>
      </c>
      <c r="G43" s="97">
        <f t="shared" si="3"/>
        <v>400</v>
      </c>
      <c r="H43" s="98">
        <f t="shared" si="4"/>
        <v>600</v>
      </c>
    </row>
    <row r="44" ht="13.5" customHeight="1">
      <c r="A44" s="178" t="s">
        <v>23</v>
      </c>
      <c r="B44" s="105">
        <v>3.0</v>
      </c>
      <c r="C44" s="100">
        <v>200.0</v>
      </c>
      <c r="D44" s="24">
        <f t="shared" si="9"/>
        <v>250</v>
      </c>
      <c r="E44" s="95">
        <v>450.0</v>
      </c>
      <c r="F44" s="96">
        <f t="shared" si="2"/>
        <v>1350</v>
      </c>
      <c r="G44" s="97">
        <f t="shared" si="3"/>
        <v>600</v>
      </c>
      <c r="H44" s="98">
        <f t="shared" si="4"/>
        <v>750</v>
      </c>
    </row>
    <row r="45" ht="13.5" customHeight="1">
      <c r="A45" s="179" t="s">
        <v>24</v>
      </c>
      <c r="B45" s="180">
        <v>6.0</v>
      </c>
      <c r="C45" s="111">
        <v>200.0</v>
      </c>
      <c r="D45" s="44">
        <f t="shared" si="9"/>
        <v>300</v>
      </c>
      <c r="E45" s="142">
        <v>500.0</v>
      </c>
      <c r="F45" s="96">
        <f t="shared" si="2"/>
        <v>3000</v>
      </c>
      <c r="G45" s="97">
        <f t="shared" si="3"/>
        <v>1200</v>
      </c>
      <c r="H45" s="98">
        <f t="shared" si="4"/>
        <v>1800</v>
      </c>
    </row>
    <row r="46" ht="13.5" customHeight="1">
      <c r="A46" s="124" t="s">
        <v>82</v>
      </c>
      <c r="B46" s="76">
        <v>0.0</v>
      </c>
      <c r="C46" s="73">
        <v>170.0</v>
      </c>
      <c r="D46" s="74">
        <v>0.0</v>
      </c>
      <c r="E46" s="75">
        <f t="shared" ref="E46:E49" si="10">C46+D46</f>
        <v>170</v>
      </c>
      <c r="F46" s="76">
        <f t="shared" si="2"/>
        <v>0</v>
      </c>
      <c r="G46" s="73">
        <f t="shared" si="3"/>
        <v>0</v>
      </c>
      <c r="H46" s="77">
        <f t="shared" si="4"/>
        <v>0</v>
      </c>
    </row>
    <row r="47" ht="13.5" customHeight="1">
      <c r="A47" s="125" t="s">
        <v>83</v>
      </c>
      <c r="B47" s="83">
        <v>6.0</v>
      </c>
      <c r="C47" s="80">
        <v>240.0</v>
      </c>
      <c r="D47" s="81">
        <v>0.0</v>
      </c>
      <c r="E47" s="82">
        <f t="shared" si="10"/>
        <v>240</v>
      </c>
      <c r="F47" s="83">
        <f t="shared" si="2"/>
        <v>1440</v>
      </c>
      <c r="G47" s="80">
        <f t="shared" si="3"/>
        <v>1440</v>
      </c>
      <c r="H47" s="84">
        <f t="shared" si="4"/>
        <v>0</v>
      </c>
    </row>
    <row r="48" ht="13.5" customHeight="1">
      <c r="A48" s="125" t="s">
        <v>84</v>
      </c>
      <c r="B48" s="83">
        <v>0.0</v>
      </c>
      <c r="C48" s="80">
        <v>240.0</v>
      </c>
      <c r="D48" s="81">
        <v>0.0</v>
      </c>
      <c r="E48" s="82">
        <f t="shared" si="10"/>
        <v>240</v>
      </c>
      <c r="F48" s="83">
        <f t="shared" si="2"/>
        <v>0</v>
      </c>
      <c r="G48" s="80">
        <f t="shared" si="3"/>
        <v>0</v>
      </c>
      <c r="H48" s="84">
        <f t="shared" si="4"/>
        <v>0</v>
      </c>
    </row>
    <row r="49" ht="13.5" customHeight="1">
      <c r="A49" s="151" t="s">
        <v>85</v>
      </c>
      <c r="B49" s="152">
        <v>0.0</v>
      </c>
      <c r="C49" s="87">
        <v>170.0</v>
      </c>
      <c r="D49" s="88">
        <v>0.0</v>
      </c>
      <c r="E49" s="153">
        <f t="shared" si="10"/>
        <v>170</v>
      </c>
      <c r="F49" s="152">
        <f t="shared" si="2"/>
        <v>0</v>
      </c>
      <c r="G49" s="87">
        <f t="shared" si="3"/>
        <v>0</v>
      </c>
      <c r="H49" s="154">
        <f t="shared" si="4"/>
        <v>0</v>
      </c>
    </row>
    <row r="50" ht="13.5" customHeight="1">
      <c r="A50" s="181" t="s">
        <v>114</v>
      </c>
      <c r="B50" s="139">
        <v>7.0</v>
      </c>
      <c r="C50" s="94">
        <v>200.0</v>
      </c>
      <c r="D50" s="17">
        <f t="shared" ref="D50:D63" si="11">E50-C50</f>
        <v>100</v>
      </c>
      <c r="E50" s="138">
        <v>300.0</v>
      </c>
      <c r="F50" s="139">
        <f t="shared" si="2"/>
        <v>2100</v>
      </c>
      <c r="G50" s="94">
        <f t="shared" si="3"/>
        <v>1400</v>
      </c>
      <c r="H50" s="140">
        <f t="shared" si="4"/>
        <v>700</v>
      </c>
    </row>
    <row r="51" ht="13.5" customHeight="1">
      <c r="A51" s="182" t="s">
        <v>32</v>
      </c>
      <c r="B51" s="96">
        <v>7.0</v>
      </c>
      <c r="C51" s="97">
        <v>200.0</v>
      </c>
      <c r="D51" s="24">
        <f t="shared" si="11"/>
        <v>200</v>
      </c>
      <c r="E51" s="183">
        <v>400.0</v>
      </c>
      <c r="F51" s="96">
        <f t="shared" si="2"/>
        <v>2800</v>
      </c>
      <c r="G51" s="97">
        <f t="shared" si="3"/>
        <v>1400</v>
      </c>
      <c r="H51" s="98">
        <f t="shared" si="4"/>
        <v>1400</v>
      </c>
    </row>
    <row r="52" ht="13.5" customHeight="1">
      <c r="A52" s="182" t="s">
        <v>17</v>
      </c>
      <c r="B52" s="96">
        <v>11.0</v>
      </c>
      <c r="C52" s="97">
        <v>150.0</v>
      </c>
      <c r="D52" s="24">
        <f t="shared" si="11"/>
        <v>150</v>
      </c>
      <c r="E52" s="183">
        <v>300.0</v>
      </c>
      <c r="F52" s="96">
        <f t="shared" si="2"/>
        <v>3300</v>
      </c>
      <c r="G52" s="97">
        <f t="shared" si="3"/>
        <v>1650</v>
      </c>
      <c r="H52" s="98">
        <f t="shared" si="4"/>
        <v>1650</v>
      </c>
    </row>
    <row r="53" ht="13.5" customHeight="1">
      <c r="A53" s="182" t="s">
        <v>19</v>
      </c>
      <c r="B53" s="96">
        <v>19.0</v>
      </c>
      <c r="C53" s="97">
        <v>170.0</v>
      </c>
      <c r="D53" s="24">
        <f t="shared" si="11"/>
        <v>30</v>
      </c>
      <c r="E53" s="183">
        <v>200.0</v>
      </c>
      <c r="F53" s="96">
        <f t="shared" si="2"/>
        <v>3800</v>
      </c>
      <c r="G53" s="97">
        <f t="shared" si="3"/>
        <v>3230</v>
      </c>
      <c r="H53" s="98">
        <f t="shared" si="4"/>
        <v>570</v>
      </c>
    </row>
    <row r="54" ht="13.5" customHeight="1">
      <c r="A54" s="184" t="s">
        <v>34</v>
      </c>
      <c r="B54" s="106">
        <v>6.0</v>
      </c>
      <c r="C54" s="100">
        <v>170.0</v>
      </c>
      <c r="D54" s="24">
        <f t="shared" si="11"/>
        <v>30</v>
      </c>
      <c r="E54" s="95">
        <v>200.0</v>
      </c>
      <c r="F54" s="96">
        <f t="shared" si="2"/>
        <v>1200</v>
      </c>
      <c r="G54" s="97">
        <f t="shared" si="3"/>
        <v>1020</v>
      </c>
      <c r="H54" s="98">
        <f t="shared" si="4"/>
        <v>180</v>
      </c>
    </row>
    <row r="55" ht="13.5" customHeight="1">
      <c r="A55" s="120" t="s">
        <v>35</v>
      </c>
      <c r="B55" s="106">
        <v>4.0</v>
      </c>
      <c r="C55" s="100">
        <v>200.0</v>
      </c>
      <c r="D55" s="24">
        <f t="shared" si="11"/>
        <v>200</v>
      </c>
      <c r="E55" s="95">
        <v>400.0</v>
      </c>
      <c r="F55" s="96">
        <f t="shared" si="2"/>
        <v>1600</v>
      </c>
      <c r="G55" s="97">
        <f t="shared" si="3"/>
        <v>800</v>
      </c>
      <c r="H55" s="98">
        <f t="shared" si="4"/>
        <v>800</v>
      </c>
    </row>
    <row r="56" ht="13.5" customHeight="1">
      <c r="A56" s="120" t="s">
        <v>115</v>
      </c>
      <c r="B56" s="106">
        <v>10.0</v>
      </c>
      <c r="C56" s="100">
        <v>0.0</v>
      </c>
      <c r="D56" s="24">
        <f t="shared" si="11"/>
        <v>1000</v>
      </c>
      <c r="E56" s="95">
        <v>1000.0</v>
      </c>
      <c r="F56" s="96">
        <f t="shared" si="2"/>
        <v>10000</v>
      </c>
      <c r="G56" s="97">
        <f t="shared" si="3"/>
        <v>0</v>
      </c>
      <c r="H56" s="98">
        <f t="shared" si="4"/>
        <v>10000</v>
      </c>
    </row>
    <row r="57" ht="13.5" customHeight="1">
      <c r="A57" s="185" t="s">
        <v>36</v>
      </c>
      <c r="B57" s="106">
        <v>9.0</v>
      </c>
      <c r="C57" s="100">
        <v>200.0</v>
      </c>
      <c r="D57" s="24">
        <f t="shared" si="11"/>
        <v>600</v>
      </c>
      <c r="E57" s="95">
        <v>800.0</v>
      </c>
      <c r="F57" s="96">
        <f t="shared" si="2"/>
        <v>7200</v>
      </c>
      <c r="G57" s="97">
        <f t="shared" si="3"/>
        <v>1800</v>
      </c>
      <c r="H57" s="98">
        <f t="shared" si="4"/>
        <v>5400</v>
      </c>
    </row>
    <row r="58" ht="13.5" customHeight="1">
      <c r="A58" s="120" t="s">
        <v>37</v>
      </c>
      <c r="B58" s="106">
        <v>2.0</v>
      </c>
      <c r="C58" s="100">
        <v>200.0</v>
      </c>
      <c r="D58" s="24">
        <f t="shared" si="11"/>
        <v>300</v>
      </c>
      <c r="E58" s="95">
        <v>500.0</v>
      </c>
      <c r="F58" s="96">
        <f t="shared" si="2"/>
        <v>1000</v>
      </c>
      <c r="G58" s="97">
        <f t="shared" si="3"/>
        <v>400</v>
      </c>
      <c r="H58" s="98">
        <f t="shared" si="4"/>
        <v>600</v>
      </c>
    </row>
    <row r="59" ht="13.5" customHeight="1">
      <c r="A59" s="184" t="s">
        <v>38</v>
      </c>
      <c r="B59" s="106">
        <v>7.0</v>
      </c>
      <c r="C59" s="100">
        <v>200.0</v>
      </c>
      <c r="D59" s="24">
        <f t="shared" si="11"/>
        <v>400</v>
      </c>
      <c r="E59" s="95">
        <v>600.0</v>
      </c>
      <c r="F59" s="106">
        <f t="shared" si="2"/>
        <v>4200</v>
      </c>
      <c r="G59" s="100">
        <f t="shared" si="3"/>
        <v>1400</v>
      </c>
      <c r="H59" s="104">
        <f t="shared" si="4"/>
        <v>2800</v>
      </c>
    </row>
    <row r="60" ht="13.5" customHeight="1">
      <c r="A60" s="177" t="s">
        <v>107</v>
      </c>
      <c r="B60" s="105">
        <v>19.0</v>
      </c>
      <c r="C60" s="100">
        <v>600.0</v>
      </c>
      <c r="D60" s="24">
        <f t="shared" si="11"/>
        <v>1000</v>
      </c>
      <c r="E60" s="95">
        <v>1600.0</v>
      </c>
      <c r="F60" s="96">
        <f t="shared" si="2"/>
        <v>30400</v>
      </c>
      <c r="G60" s="97">
        <f t="shared" si="3"/>
        <v>11400</v>
      </c>
      <c r="H60" s="98">
        <f t="shared" si="4"/>
        <v>19000</v>
      </c>
    </row>
    <row r="61" ht="13.5" customHeight="1">
      <c r="A61" s="178" t="s">
        <v>108</v>
      </c>
      <c r="B61" s="105">
        <v>22.0</v>
      </c>
      <c r="C61" s="100">
        <v>300.0</v>
      </c>
      <c r="D61" s="24">
        <f t="shared" si="11"/>
        <v>900</v>
      </c>
      <c r="E61" s="95">
        <v>1200.0</v>
      </c>
      <c r="F61" s="105">
        <f t="shared" si="2"/>
        <v>26400</v>
      </c>
      <c r="G61" s="100">
        <f t="shared" si="3"/>
        <v>6600</v>
      </c>
      <c r="H61" s="104">
        <f t="shared" si="4"/>
        <v>19800</v>
      </c>
    </row>
    <row r="62" ht="13.5" customHeight="1">
      <c r="A62" s="186" t="s">
        <v>109</v>
      </c>
      <c r="B62" s="180">
        <v>6.0</v>
      </c>
      <c r="C62" s="111">
        <v>200.0</v>
      </c>
      <c r="D62" s="44">
        <f t="shared" si="11"/>
        <v>200</v>
      </c>
      <c r="E62" s="142">
        <v>400.0</v>
      </c>
      <c r="F62" s="143">
        <f t="shared" si="2"/>
        <v>2400</v>
      </c>
      <c r="G62" s="111">
        <f t="shared" si="3"/>
        <v>1200</v>
      </c>
      <c r="H62" s="144">
        <f t="shared" si="4"/>
        <v>1200</v>
      </c>
    </row>
    <row r="63" ht="13.5" customHeight="1">
      <c r="A63" s="187" t="s">
        <v>86</v>
      </c>
      <c r="B63" s="180"/>
      <c r="C63" s="111">
        <v>50.0</v>
      </c>
      <c r="D63" s="41">
        <f t="shared" si="11"/>
        <v>0</v>
      </c>
      <c r="E63" s="111">
        <v>50.0</v>
      </c>
      <c r="F63" s="111">
        <f t="shared" si="2"/>
        <v>0</v>
      </c>
      <c r="G63" s="111">
        <f t="shared" si="3"/>
        <v>0</v>
      </c>
      <c r="H63" s="144">
        <f t="shared" si="4"/>
        <v>0</v>
      </c>
    </row>
    <row r="64" ht="13.5" customHeight="1">
      <c r="A64" s="158" t="s">
        <v>87</v>
      </c>
      <c r="B64" s="159">
        <v>16.0</v>
      </c>
      <c r="C64" s="160">
        <v>50.0</v>
      </c>
      <c r="D64" s="161">
        <v>0.0</v>
      </c>
      <c r="E64" s="162">
        <f>C64+D64</f>
        <v>50</v>
      </c>
      <c r="F64" s="159">
        <f t="shared" si="2"/>
        <v>800</v>
      </c>
      <c r="G64" s="160">
        <f t="shared" si="3"/>
        <v>800</v>
      </c>
      <c r="H64" s="163">
        <f t="shared" si="4"/>
        <v>0</v>
      </c>
    </row>
    <row r="65" ht="13.5" customHeight="1">
      <c r="A65" s="18"/>
      <c r="B65" s="135">
        <f>SUM(B4:B64)</f>
        <v>497</v>
      </c>
      <c r="C65" s="28"/>
      <c r="D65" s="28"/>
      <c r="E65" s="28"/>
      <c r="F65" s="136">
        <f t="shared" ref="F65:H65" si="12">SUM(F4:F64)</f>
        <v>247940</v>
      </c>
      <c r="G65" s="135">
        <f t="shared" si="12"/>
        <v>109440</v>
      </c>
      <c r="H65" s="137">
        <f t="shared" si="12"/>
        <v>138500</v>
      </c>
    </row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G1"/>
    <mergeCell ref="A2:D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4.5"/>
    <col customWidth="1" min="2" max="2" width="27.63"/>
    <col customWidth="1" min="3" max="6" width="10.13"/>
    <col customWidth="1" min="7" max="7" width="8.63"/>
    <col customWidth="1" min="8" max="9" width="11.13"/>
    <col customWidth="1" min="10" max="10" width="11.5"/>
    <col customWidth="1" min="11" max="11" width="11.13"/>
    <col customWidth="1" min="12" max="14" width="10.63"/>
    <col customWidth="1" min="15" max="15" width="8.13"/>
    <col customWidth="1" min="16" max="16" width="4.63"/>
    <col customWidth="1" min="17" max="17" width="8.63"/>
    <col customWidth="1" min="18" max="18" width="47.63"/>
    <col customWidth="1" min="19" max="26" width="8.63"/>
  </cols>
  <sheetData>
    <row r="1" ht="13.5" customHeight="1">
      <c r="B1" s="1" t="s">
        <v>0</v>
      </c>
    </row>
    <row r="2" ht="13.5" customHeight="1">
      <c r="B2" s="2" t="s">
        <v>116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4"/>
      <c r="R2" s="4"/>
    </row>
    <row r="3" ht="13.5" customHeight="1">
      <c r="B3" s="5" t="s">
        <v>2</v>
      </c>
      <c r="C3" s="6" t="s">
        <v>3</v>
      </c>
      <c r="D3" s="7" t="s">
        <v>4</v>
      </c>
      <c r="E3" s="7" t="s">
        <v>5</v>
      </c>
      <c r="F3" s="7" t="s">
        <v>6</v>
      </c>
      <c r="G3" s="8" t="s">
        <v>7</v>
      </c>
      <c r="H3" s="7" t="s">
        <v>8</v>
      </c>
      <c r="I3" s="7" t="s">
        <v>9</v>
      </c>
      <c r="J3" s="9" t="s">
        <v>10</v>
      </c>
      <c r="K3" s="7" t="s">
        <v>11</v>
      </c>
      <c r="L3" s="10" t="s">
        <v>12</v>
      </c>
      <c r="M3" s="10" t="s">
        <v>13</v>
      </c>
      <c r="N3" s="10" t="s">
        <v>14</v>
      </c>
      <c r="O3" s="11" t="s">
        <v>15</v>
      </c>
    </row>
    <row r="4" ht="13.5" customHeight="1">
      <c r="B4" s="12" t="s">
        <v>16</v>
      </c>
      <c r="C4" s="13">
        <v>12.0</v>
      </c>
      <c r="D4" s="14">
        <v>50.0</v>
      </c>
      <c r="E4" s="14">
        <v>0.0</v>
      </c>
      <c r="F4" s="14">
        <f t="shared" ref="F4:F37" si="1">G4-E4-D4</f>
        <v>50</v>
      </c>
      <c r="G4" s="15">
        <v>100.0</v>
      </c>
      <c r="H4" s="13">
        <f t="shared" ref="H4:H37" si="2">D4*C4</f>
        <v>600</v>
      </c>
      <c r="I4" s="14">
        <f t="shared" ref="I4:I37" si="3">C4*E4</f>
        <v>0</v>
      </c>
      <c r="J4" s="16">
        <f t="shared" ref="J4:J37" si="4">C4*G4</f>
        <v>1200</v>
      </c>
      <c r="K4" s="14">
        <f t="shared" ref="K4:K37" si="5">F4*C4</f>
        <v>600</v>
      </c>
      <c r="L4" s="15">
        <v>0.0</v>
      </c>
      <c r="M4" s="15">
        <f t="shared" ref="M4:M37" si="6">L4+K4</f>
        <v>600</v>
      </c>
      <c r="N4" s="15">
        <v>0.0</v>
      </c>
      <c r="O4" s="17">
        <f t="shared" ref="O4:O37" si="7">M4-N4</f>
        <v>600</v>
      </c>
      <c r="P4" s="18"/>
    </row>
    <row r="5" ht="13.5" customHeight="1">
      <c r="B5" s="19" t="s">
        <v>18</v>
      </c>
      <c r="C5" s="20">
        <v>14.0</v>
      </c>
      <c r="D5" s="21">
        <v>50.0</v>
      </c>
      <c r="E5" s="21">
        <v>50.0</v>
      </c>
      <c r="F5" s="21">
        <f t="shared" si="1"/>
        <v>100</v>
      </c>
      <c r="G5" s="22">
        <v>200.0</v>
      </c>
      <c r="H5" s="20">
        <f t="shared" si="2"/>
        <v>700</v>
      </c>
      <c r="I5" s="21">
        <f t="shared" si="3"/>
        <v>700</v>
      </c>
      <c r="J5" s="23">
        <f t="shared" si="4"/>
        <v>2800</v>
      </c>
      <c r="K5" s="21">
        <f t="shared" si="5"/>
        <v>1400</v>
      </c>
      <c r="L5" s="22">
        <v>0.0</v>
      </c>
      <c r="M5" s="22">
        <f t="shared" si="6"/>
        <v>1400</v>
      </c>
      <c r="N5" s="22">
        <v>1400.0</v>
      </c>
      <c r="O5" s="24">
        <f t="shared" si="7"/>
        <v>0</v>
      </c>
      <c r="P5" s="18"/>
    </row>
    <row r="6" ht="13.5" customHeight="1">
      <c r="B6" s="25" t="s">
        <v>17</v>
      </c>
      <c r="C6" s="20">
        <v>11.0</v>
      </c>
      <c r="D6" s="21">
        <v>50.0</v>
      </c>
      <c r="E6" s="21">
        <v>50.0</v>
      </c>
      <c r="F6" s="21">
        <f t="shared" si="1"/>
        <v>50</v>
      </c>
      <c r="G6" s="22">
        <v>150.0</v>
      </c>
      <c r="H6" s="20">
        <f t="shared" si="2"/>
        <v>550</v>
      </c>
      <c r="I6" s="21">
        <f t="shared" si="3"/>
        <v>550</v>
      </c>
      <c r="J6" s="23">
        <f t="shared" si="4"/>
        <v>1650</v>
      </c>
      <c r="K6" s="21">
        <f t="shared" si="5"/>
        <v>550</v>
      </c>
      <c r="L6" s="22">
        <v>0.0</v>
      </c>
      <c r="M6" s="22">
        <f t="shared" si="6"/>
        <v>550</v>
      </c>
      <c r="N6" s="22">
        <v>550.0</v>
      </c>
      <c r="O6" s="24">
        <f t="shared" si="7"/>
        <v>0</v>
      </c>
      <c r="P6" s="18"/>
    </row>
    <row r="7" ht="13.5" customHeight="1">
      <c r="B7" s="19" t="s">
        <v>19</v>
      </c>
      <c r="C7" s="20">
        <v>14.0</v>
      </c>
      <c r="D7" s="21">
        <v>30.0</v>
      </c>
      <c r="E7" s="21">
        <v>0.0</v>
      </c>
      <c r="F7" s="21">
        <f t="shared" si="1"/>
        <v>0</v>
      </c>
      <c r="G7" s="22">
        <v>30.0</v>
      </c>
      <c r="H7" s="20">
        <f t="shared" si="2"/>
        <v>420</v>
      </c>
      <c r="I7" s="21">
        <f t="shared" si="3"/>
        <v>0</v>
      </c>
      <c r="J7" s="23">
        <f t="shared" si="4"/>
        <v>420</v>
      </c>
      <c r="K7" s="21">
        <f t="shared" si="5"/>
        <v>0</v>
      </c>
      <c r="L7" s="22">
        <v>0.0</v>
      </c>
      <c r="M7" s="22">
        <f t="shared" si="6"/>
        <v>0</v>
      </c>
      <c r="N7" s="22">
        <v>0.0</v>
      </c>
      <c r="O7" s="24">
        <f t="shared" si="7"/>
        <v>0</v>
      </c>
      <c r="P7" s="18"/>
    </row>
    <row r="8" ht="13.5" customHeight="1">
      <c r="B8" s="26" t="s">
        <v>20</v>
      </c>
      <c r="C8" s="20">
        <v>4.0</v>
      </c>
      <c r="D8" s="21">
        <v>30.0</v>
      </c>
      <c r="E8" s="21">
        <v>0.0</v>
      </c>
      <c r="F8" s="21">
        <f t="shared" si="1"/>
        <v>0</v>
      </c>
      <c r="G8" s="22">
        <v>30.0</v>
      </c>
      <c r="H8" s="20">
        <f t="shared" si="2"/>
        <v>120</v>
      </c>
      <c r="I8" s="21">
        <f t="shared" si="3"/>
        <v>0</v>
      </c>
      <c r="J8" s="23">
        <f t="shared" si="4"/>
        <v>120</v>
      </c>
      <c r="K8" s="21">
        <f t="shared" si="5"/>
        <v>0</v>
      </c>
      <c r="L8" s="22">
        <v>0.0</v>
      </c>
      <c r="M8" s="22">
        <f t="shared" si="6"/>
        <v>0</v>
      </c>
      <c r="N8" s="22">
        <v>0.0</v>
      </c>
      <c r="O8" s="24">
        <f t="shared" si="7"/>
        <v>0</v>
      </c>
      <c r="P8" s="18"/>
    </row>
    <row r="9" ht="13.5" customHeight="1">
      <c r="B9" s="19" t="s">
        <v>21</v>
      </c>
      <c r="C9" s="20">
        <v>7.0</v>
      </c>
      <c r="D9" s="21">
        <v>50.0</v>
      </c>
      <c r="E9" s="21">
        <v>50.0</v>
      </c>
      <c r="F9" s="21">
        <f t="shared" si="1"/>
        <v>100</v>
      </c>
      <c r="G9" s="22">
        <v>200.0</v>
      </c>
      <c r="H9" s="20">
        <f t="shared" si="2"/>
        <v>350</v>
      </c>
      <c r="I9" s="21">
        <f t="shared" si="3"/>
        <v>350</v>
      </c>
      <c r="J9" s="23">
        <f t="shared" si="4"/>
        <v>1400</v>
      </c>
      <c r="K9" s="21">
        <f t="shared" si="5"/>
        <v>700</v>
      </c>
      <c r="L9" s="22">
        <v>0.0</v>
      </c>
      <c r="M9" s="22">
        <f t="shared" si="6"/>
        <v>700</v>
      </c>
      <c r="N9" s="22">
        <v>700.0</v>
      </c>
      <c r="O9" s="24">
        <f t="shared" si="7"/>
        <v>0</v>
      </c>
    </row>
    <row r="10" ht="13.5" customHeight="1">
      <c r="B10" s="19" t="s">
        <v>22</v>
      </c>
      <c r="C10" s="27">
        <v>6.0</v>
      </c>
      <c r="D10" s="21">
        <v>50.0</v>
      </c>
      <c r="E10" s="21">
        <v>50.0</v>
      </c>
      <c r="F10" s="21">
        <f t="shared" si="1"/>
        <v>200</v>
      </c>
      <c r="G10" s="22">
        <v>300.0</v>
      </c>
      <c r="H10" s="20">
        <f t="shared" si="2"/>
        <v>300</v>
      </c>
      <c r="I10" s="21">
        <f t="shared" si="3"/>
        <v>300</v>
      </c>
      <c r="J10" s="23">
        <f t="shared" si="4"/>
        <v>1800</v>
      </c>
      <c r="K10" s="21">
        <f t="shared" si="5"/>
        <v>1200</v>
      </c>
      <c r="L10" s="22">
        <v>2400.0</v>
      </c>
      <c r="M10" s="22">
        <f t="shared" si="6"/>
        <v>3600</v>
      </c>
      <c r="N10" s="22">
        <v>3198.0</v>
      </c>
      <c r="O10" s="24">
        <f t="shared" si="7"/>
        <v>402</v>
      </c>
      <c r="Q10" s="28"/>
    </row>
    <row r="11" ht="13.5" customHeight="1">
      <c r="B11" s="19" t="s">
        <v>23</v>
      </c>
      <c r="C11" s="20">
        <v>3.0</v>
      </c>
      <c r="D11" s="21">
        <v>50.0</v>
      </c>
      <c r="E11" s="21">
        <v>50.0</v>
      </c>
      <c r="F11" s="21">
        <f t="shared" si="1"/>
        <v>150</v>
      </c>
      <c r="G11" s="22">
        <v>250.0</v>
      </c>
      <c r="H11" s="20">
        <f t="shared" si="2"/>
        <v>150</v>
      </c>
      <c r="I11" s="21">
        <f t="shared" si="3"/>
        <v>150</v>
      </c>
      <c r="J11" s="23">
        <f t="shared" si="4"/>
        <v>750</v>
      </c>
      <c r="K11" s="21">
        <f t="shared" si="5"/>
        <v>450</v>
      </c>
      <c r="L11" s="22">
        <v>1200.0</v>
      </c>
      <c r="M11" s="22">
        <f t="shared" si="6"/>
        <v>1650</v>
      </c>
      <c r="N11" s="22">
        <v>1439.0</v>
      </c>
      <c r="O11" s="24">
        <f t="shared" si="7"/>
        <v>211</v>
      </c>
      <c r="Q11" s="28"/>
    </row>
    <row r="12" ht="13.5" customHeight="1">
      <c r="B12" s="29" t="s">
        <v>24</v>
      </c>
      <c r="C12" s="20">
        <v>5.0</v>
      </c>
      <c r="D12" s="21">
        <v>50.0</v>
      </c>
      <c r="E12" s="21">
        <v>50.0</v>
      </c>
      <c r="F12" s="21">
        <f t="shared" si="1"/>
        <v>200</v>
      </c>
      <c r="G12" s="22">
        <v>300.0</v>
      </c>
      <c r="H12" s="20">
        <f t="shared" si="2"/>
        <v>250</v>
      </c>
      <c r="I12" s="21">
        <f t="shared" si="3"/>
        <v>250</v>
      </c>
      <c r="J12" s="23">
        <f t="shared" si="4"/>
        <v>1500</v>
      </c>
      <c r="K12" s="21">
        <f t="shared" si="5"/>
        <v>1000</v>
      </c>
      <c r="L12" s="22">
        <v>2000.0</v>
      </c>
      <c r="M12" s="22">
        <f t="shared" si="6"/>
        <v>3000</v>
      </c>
      <c r="N12" s="22">
        <v>2665.0</v>
      </c>
      <c r="O12" s="24">
        <f t="shared" si="7"/>
        <v>335</v>
      </c>
    </row>
    <row r="13" ht="13.5" customHeight="1">
      <c r="B13" s="19" t="s">
        <v>117</v>
      </c>
      <c r="C13" s="20">
        <v>9.0</v>
      </c>
      <c r="D13" s="21">
        <v>50.0</v>
      </c>
      <c r="E13" s="21">
        <v>0.0</v>
      </c>
      <c r="F13" s="21">
        <f t="shared" si="1"/>
        <v>50</v>
      </c>
      <c r="G13" s="22">
        <v>100.0</v>
      </c>
      <c r="H13" s="20">
        <f t="shared" si="2"/>
        <v>450</v>
      </c>
      <c r="I13" s="21">
        <f t="shared" si="3"/>
        <v>0</v>
      </c>
      <c r="J13" s="23">
        <f t="shared" si="4"/>
        <v>900</v>
      </c>
      <c r="K13" s="21">
        <f t="shared" si="5"/>
        <v>450</v>
      </c>
      <c r="L13" s="22">
        <v>0.0</v>
      </c>
      <c r="M13" s="22">
        <f t="shared" si="6"/>
        <v>450</v>
      </c>
      <c r="N13" s="22">
        <v>0.0</v>
      </c>
      <c r="O13" s="24">
        <f t="shared" si="7"/>
        <v>450</v>
      </c>
    </row>
    <row r="14" ht="13.5" customHeight="1">
      <c r="B14" s="19" t="s">
        <v>30</v>
      </c>
      <c r="C14" s="20">
        <v>13.0</v>
      </c>
      <c r="D14" s="21">
        <v>50.0</v>
      </c>
      <c r="E14" s="21">
        <v>50.0</v>
      </c>
      <c r="F14" s="21">
        <f t="shared" si="1"/>
        <v>100</v>
      </c>
      <c r="G14" s="22">
        <v>200.0</v>
      </c>
      <c r="H14" s="20">
        <f t="shared" si="2"/>
        <v>650</v>
      </c>
      <c r="I14" s="21">
        <f t="shared" si="3"/>
        <v>650</v>
      </c>
      <c r="J14" s="23">
        <f t="shared" si="4"/>
        <v>2600</v>
      </c>
      <c r="K14" s="21">
        <f t="shared" si="5"/>
        <v>1300</v>
      </c>
      <c r="L14" s="22">
        <v>0.0</v>
      </c>
      <c r="M14" s="22">
        <f t="shared" si="6"/>
        <v>1300</v>
      </c>
      <c r="N14" s="22">
        <v>1300.0</v>
      </c>
      <c r="O14" s="24">
        <f t="shared" si="7"/>
        <v>0</v>
      </c>
    </row>
    <row r="15" ht="13.5" customHeight="1">
      <c r="B15" s="30" t="s">
        <v>31</v>
      </c>
      <c r="C15" s="31">
        <v>8.0</v>
      </c>
      <c r="D15" s="32">
        <v>50.0</v>
      </c>
      <c r="E15" s="32">
        <v>50.0</v>
      </c>
      <c r="F15" s="32">
        <f t="shared" si="1"/>
        <v>100</v>
      </c>
      <c r="G15" s="33">
        <v>200.0</v>
      </c>
      <c r="H15" s="31">
        <f t="shared" si="2"/>
        <v>400</v>
      </c>
      <c r="I15" s="32">
        <f t="shared" si="3"/>
        <v>400</v>
      </c>
      <c r="J15" s="34">
        <f t="shared" si="4"/>
        <v>1600</v>
      </c>
      <c r="K15" s="32">
        <f t="shared" si="5"/>
        <v>800</v>
      </c>
      <c r="L15" s="33">
        <v>0.0</v>
      </c>
      <c r="M15" s="33">
        <f t="shared" si="6"/>
        <v>800</v>
      </c>
      <c r="N15" s="33">
        <v>800.0</v>
      </c>
      <c r="O15" s="35">
        <f t="shared" si="7"/>
        <v>0</v>
      </c>
    </row>
    <row r="16" ht="13.5" customHeight="1">
      <c r="B16" s="19" t="s">
        <v>42</v>
      </c>
      <c r="C16" s="20">
        <v>6.0</v>
      </c>
      <c r="D16" s="21">
        <v>50.0</v>
      </c>
      <c r="E16" s="21">
        <v>50.0</v>
      </c>
      <c r="F16" s="21">
        <f t="shared" si="1"/>
        <v>200</v>
      </c>
      <c r="G16" s="22">
        <v>300.0</v>
      </c>
      <c r="H16" s="20">
        <f t="shared" si="2"/>
        <v>300</v>
      </c>
      <c r="I16" s="21">
        <f t="shared" si="3"/>
        <v>300</v>
      </c>
      <c r="J16" s="23">
        <f t="shared" si="4"/>
        <v>1800</v>
      </c>
      <c r="K16" s="21">
        <f t="shared" si="5"/>
        <v>1200</v>
      </c>
      <c r="L16" s="22">
        <v>2000.0</v>
      </c>
      <c r="M16" s="22">
        <f t="shared" si="6"/>
        <v>3200</v>
      </c>
      <c r="N16" s="22">
        <v>2798.0</v>
      </c>
      <c r="O16" s="24">
        <f t="shared" si="7"/>
        <v>402</v>
      </c>
    </row>
    <row r="17" ht="13.5" customHeight="1">
      <c r="B17" s="19" t="s">
        <v>43</v>
      </c>
      <c r="C17" s="20">
        <v>10.0</v>
      </c>
      <c r="D17" s="21">
        <v>50.0</v>
      </c>
      <c r="E17" s="21">
        <v>50.0</v>
      </c>
      <c r="F17" s="21">
        <f t="shared" si="1"/>
        <v>150</v>
      </c>
      <c r="G17" s="22">
        <v>250.0</v>
      </c>
      <c r="H17" s="20">
        <f t="shared" si="2"/>
        <v>500</v>
      </c>
      <c r="I17" s="21">
        <f t="shared" si="3"/>
        <v>500</v>
      </c>
      <c r="J17" s="23">
        <f t="shared" si="4"/>
        <v>2500</v>
      </c>
      <c r="K17" s="21">
        <f t="shared" si="5"/>
        <v>1500</v>
      </c>
      <c r="L17" s="22">
        <v>1200.0</v>
      </c>
      <c r="M17" s="22">
        <f t="shared" si="6"/>
        <v>2700</v>
      </c>
      <c r="N17" s="22">
        <v>1918.0</v>
      </c>
      <c r="O17" s="24">
        <f t="shared" si="7"/>
        <v>782</v>
      </c>
    </row>
    <row r="18" ht="13.5" customHeight="1">
      <c r="B18" s="19" t="s">
        <v>44</v>
      </c>
      <c r="C18" s="20">
        <v>6.0</v>
      </c>
      <c r="D18" s="21">
        <v>50.0</v>
      </c>
      <c r="E18" s="21">
        <v>50.0</v>
      </c>
      <c r="F18" s="21">
        <f t="shared" si="1"/>
        <v>150</v>
      </c>
      <c r="G18" s="22">
        <v>250.0</v>
      </c>
      <c r="H18" s="20">
        <f t="shared" si="2"/>
        <v>300</v>
      </c>
      <c r="I18" s="21">
        <f t="shared" si="3"/>
        <v>300</v>
      </c>
      <c r="J18" s="23">
        <f t="shared" si="4"/>
        <v>1500</v>
      </c>
      <c r="K18" s="21">
        <f t="shared" si="5"/>
        <v>900</v>
      </c>
      <c r="L18" s="22">
        <v>1600.0</v>
      </c>
      <c r="M18" s="22">
        <f t="shared" si="6"/>
        <v>2500</v>
      </c>
      <c r="N18" s="22">
        <v>2238.0</v>
      </c>
      <c r="O18" s="24">
        <f t="shared" si="7"/>
        <v>262</v>
      </c>
    </row>
    <row r="19" ht="13.5" customHeight="1">
      <c r="B19" s="19" t="s">
        <v>41</v>
      </c>
      <c r="C19" s="20">
        <v>6.0</v>
      </c>
      <c r="D19" s="21">
        <v>30.0</v>
      </c>
      <c r="E19" s="21">
        <v>0.0</v>
      </c>
      <c r="F19" s="21">
        <f t="shared" si="1"/>
        <v>0</v>
      </c>
      <c r="G19" s="22">
        <v>30.0</v>
      </c>
      <c r="H19" s="20">
        <f t="shared" si="2"/>
        <v>180</v>
      </c>
      <c r="I19" s="21">
        <f t="shared" si="3"/>
        <v>0</v>
      </c>
      <c r="J19" s="23">
        <f t="shared" si="4"/>
        <v>180</v>
      </c>
      <c r="K19" s="21">
        <f t="shared" si="5"/>
        <v>0</v>
      </c>
      <c r="L19" s="22">
        <v>0.0</v>
      </c>
      <c r="M19" s="22">
        <f t="shared" si="6"/>
        <v>0</v>
      </c>
      <c r="N19" s="22">
        <v>0.0</v>
      </c>
      <c r="O19" s="24">
        <f t="shared" si="7"/>
        <v>0</v>
      </c>
    </row>
    <row r="20" ht="13.5" customHeight="1">
      <c r="B20" s="19" t="s">
        <v>40</v>
      </c>
      <c r="C20" s="20">
        <v>2.0</v>
      </c>
      <c r="D20" s="21">
        <v>30.0</v>
      </c>
      <c r="E20" s="21">
        <v>0.0</v>
      </c>
      <c r="F20" s="21">
        <f t="shared" si="1"/>
        <v>0</v>
      </c>
      <c r="G20" s="22">
        <v>30.0</v>
      </c>
      <c r="H20" s="20">
        <f t="shared" si="2"/>
        <v>60</v>
      </c>
      <c r="I20" s="21">
        <f t="shared" si="3"/>
        <v>0</v>
      </c>
      <c r="J20" s="23">
        <f t="shared" si="4"/>
        <v>60</v>
      </c>
      <c r="K20" s="21">
        <f t="shared" si="5"/>
        <v>0</v>
      </c>
      <c r="L20" s="22">
        <v>0.0</v>
      </c>
      <c r="M20" s="22">
        <f t="shared" si="6"/>
        <v>0</v>
      </c>
      <c r="N20" s="22">
        <v>0.0</v>
      </c>
      <c r="O20" s="24">
        <f t="shared" si="7"/>
        <v>0</v>
      </c>
    </row>
    <row r="21" ht="13.5" customHeight="1">
      <c r="B21" s="36" t="s">
        <v>16</v>
      </c>
      <c r="C21" s="13">
        <v>8.0</v>
      </c>
      <c r="D21" s="14">
        <v>50.0</v>
      </c>
      <c r="E21" s="14">
        <v>0.0</v>
      </c>
      <c r="F21" s="14">
        <f t="shared" si="1"/>
        <v>50</v>
      </c>
      <c r="G21" s="15">
        <v>100.0</v>
      </c>
      <c r="H21" s="13">
        <f t="shared" si="2"/>
        <v>400</v>
      </c>
      <c r="I21" s="14">
        <f t="shared" si="3"/>
        <v>0</v>
      </c>
      <c r="J21" s="16">
        <f t="shared" si="4"/>
        <v>800</v>
      </c>
      <c r="K21" s="14">
        <f t="shared" si="5"/>
        <v>400</v>
      </c>
      <c r="L21" s="14">
        <v>0.0</v>
      </c>
      <c r="M21" s="15">
        <f t="shared" si="6"/>
        <v>400</v>
      </c>
      <c r="N21" s="15">
        <v>0.0</v>
      </c>
      <c r="O21" s="17">
        <f t="shared" si="7"/>
        <v>400</v>
      </c>
    </row>
    <row r="22" ht="13.5" customHeight="1">
      <c r="B22" s="37" t="s">
        <v>18</v>
      </c>
      <c r="C22" s="20">
        <v>11.0</v>
      </c>
      <c r="D22" s="21">
        <v>50.0</v>
      </c>
      <c r="E22" s="21">
        <v>50.0</v>
      </c>
      <c r="F22" s="21">
        <f t="shared" si="1"/>
        <v>100</v>
      </c>
      <c r="G22" s="22">
        <v>200.0</v>
      </c>
      <c r="H22" s="20">
        <f t="shared" si="2"/>
        <v>550</v>
      </c>
      <c r="I22" s="21">
        <f t="shared" si="3"/>
        <v>550</v>
      </c>
      <c r="J22" s="23">
        <f t="shared" si="4"/>
        <v>2200</v>
      </c>
      <c r="K22" s="21">
        <f t="shared" si="5"/>
        <v>1100</v>
      </c>
      <c r="L22" s="21">
        <v>0.0</v>
      </c>
      <c r="M22" s="22">
        <f t="shared" si="6"/>
        <v>1100</v>
      </c>
      <c r="N22" s="22">
        <v>1100.0</v>
      </c>
      <c r="O22" s="24">
        <f t="shared" si="7"/>
        <v>0</v>
      </c>
    </row>
    <row r="23" ht="13.5" customHeight="1">
      <c r="B23" s="37" t="s">
        <v>17</v>
      </c>
      <c r="C23" s="20">
        <v>9.0</v>
      </c>
      <c r="D23" s="21">
        <v>50.0</v>
      </c>
      <c r="E23" s="21">
        <v>50.0</v>
      </c>
      <c r="F23" s="21">
        <f t="shared" si="1"/>
        <v>50</v>
      </c>
      <c r="G23" s="22">
        <v>150.0</v>
      </c>
      <c r="H23" s="20">
        <f t="shared" si="2"/>
        <v>450</v>
      </c>
      <c r="I23" s="21">
        <f t="shared" si="3"/>
        <v>450</v>
      </c>
      <c r="J23" s="23">
        <f t="shared" si="4"/>
        <v>1350</v>
      </c>
      <c r="K23" s="21">
        <f t="shared" si="5"/>
        <v>450</v>
      </c>
      <c r="L23" s="21">
        <v>0.0</v>
      </c>
      <c r="M23" s="22">
        <f t="shared" si="6"/>
        <v>450</v>
      </c>
      <c r="N23" s="22">
        <v>450.0</v>
      </c>
      <c r="O23" s="24">
        <f t="shared" si="7"/>
        <v>0</v>
      </c>
    </row>
    <row r="24" ht="13.5" customHeight="1">
      <c r="B24" s="37" t="s">
        <v>19</v>
      </c>
      <c r="C24" s="20">
        <v>15.0</v>
      </c>
      <c r="D24" s="21">
        <v>30.0</v>
      </c>
      <c r="E24" s="21">
        <v>0.0</v>
      </c>
      <c r="F24" s="21">
        <f t="shared" si="1"/>
        <v>0</v>
      </c>
      <c r="G24" s="22">
        <v>30.0</v>
      </c>
      <c r="H24" s="20">
        <f t="shared" si="2"/>
        <v>450</v>
      </c>
      <c r="I24" s="21">
        <f t="shared" si="3"/>
        <v>0</v>
      </c>
      <c r="J24" s="23">
        <f t="shared" si="4"/>
        <v>450</v>
      </c>
      <c r="K24" s="21">
        <f t="shared" si="5"/>
        <v>0</v>
      </c>
      <c r="L24" s="21">
        <v>0.0</v>
      </c>
      <c r="M24" s="22">
        <f t="shared" si="6"/>
        <v>0</v>
      </c>
      <c r="N24" s="22">
        <v>0.0</v>
      </c>
      <c r="O24" s="24">
        <f t="shared" si="7"/>
        <v>0</v>
      </c>
    </row>
    <row r="25" ht="13.5" customHeight="1">
      <c r="B25" s="38" t="s">
        <v>20</v>
      </c>
      <c r="C25" s="20">
        <v>4.0</v>
      </c>
      <c r="D25" s="21">
        <v>30.0</v>
      </c>
      <c r="E25" s="21">
        <v>0.0</v>
      </c>
      <c r="F25" s="21">
        <f t="shared" si="1"/>
        <v>0</v>
      </c>
      <c r="G25" s="22">
        <v>30.0</v>
      </c>
      <c r="H25" s="20">
        <f t="shared" si="2"/>
        <v>120</v>
      </c>
      <c r="I25" s="21">
        <f t="shared" si="3"/>
        <v>0</v>
      </c>
      <c r="J25" s="23">
        <f t="shared" si="4"/>
        <v>120</v>
      </c>
      <c r="K25" s="21">
        <f t="shared" si="5"/>
        <v>0</v>
      </c>
      <c r="L25" s="21">
        <v>0.0</v>
      </c>
      <c r="M25" s="22">
        <f t="shared" si="6"/>
        <v>0</v>
      </c>
      <c r="N25" s="22">
        <v>0.0</v>
      </c>
      <c r="O25" s="24">
        <f t="shared" si="7"/>
        <v>0</v>
      </c>
    </row>
    <row r="26" ht="13.5" customHeight="1">
      <c r="B26" s="37" t="s">
        <v>21</v>
      </c>
      <c r="C26" s="20">
        <v>5.0</v>
      </c>
      <c r="D26" s="21">
        <v>50.0</v>
      </c>
      <c r="E26" s="21">
        <v>50.0</v>
      </c>
      <c r="F26" s="21">
        <f t="shared" si="1"/>
        <v>100</v>
      </c>
      <c r="G26" s="22">
        <v>200.0</v>
      </c>
      <c r="H26" s="20">
        <f t="shared" si="2"/>
        <v>250</v>
      </c>
      <c r="I26" s="21">
        <f t="shared" si="3"/>
        <v>250</v>
      </c>
      <c r="J26" s="23">
        <f t="shared" si="4"/>
        <v>1000</v>
      </c>
      <c r="K26" s="21">
        <f t="shared" si="5"/>
        <v>500</v>
      </c>
      <c r="L26" s="22">
        <v>0.0</v>
      </c>
      <c r="M26" s="22">
        <f t="shared" si="6"/>
        <v>500</v>
      </c>
      <c r="N26" s="22">
        <v>500.0</v>
      </c>
      <c r="O26" s="24">
        <f t="shared" si="7"/>
        <v>0</v>
      </c>
    </row>
    <row r="27" ht="13.5" customHeight="1">
      <c r="B27" s="37" t="s">
        <v>22</v>
      </c>
      <c r="C27" s="20">
        <v>10.0</v>
      </c>
      <c r="D27" s="21">
        <v>50.0</v>
      </c>
      <c r="E27" s="21">
        <v>50.0</v>
      </c>
      <c r="F27" s="21">
        <f t="shared" si="1"/>
        <v>500</v>
      </c>
      <c r="G27" s="22">
        <v>600.0</v>
      </c>
      <c r="H27" s="20">
        <f t="shared" si="2"/>
        <v>500</v>
      </c>
      <c r="I27" s="21">
        <f t="shared" si="3"/>
        <v>500</v>
      </c>
      <c r="J27" s="23">
        <f t="shared" si="4"/>
        <v>6000</v>
      </c>
      <c r="K27" s="21">
        <f t="shared" si="5"/>
        <v>5000</v>
      </c>
      <c r="L27" s="21">
        <v>7600.0</v>
      </c>
      <c r="M27" s="22">
        <f t="shared" si="6"/>
        <v>12600</v>
      </c>
      <c r="N27" s="22">
        <v>11590.0</v>
      </c>
      <c r="O27" s="24">
        <f t="shared" si="7"/>
        <v>1010</v>
      </c>
    </row>
    <row r="28" ht="13.5" customHeight="1">
      <c r="B28" s="37" t="s">
        <v>23</v>
      </c>
      <c r="C28" s="20">
        <v>4.0</v>
      </c>
      <c r="D28" s="21">
        <v>50.0</v>
      </c>
      <c r="E28" s="21">
        <v>50.0</v>
      </c>
      <c r="F28" s="21">
        <f t="shared" si="1"/>
        <v>200</v>
      </c>
      <c r="G28" s="22">
        <v>300.0</v>
      </c>
      <c r="H28" s="20">
        <f t="shared" si="2"/>
        <v>200</v>
      </c>
      <c r="I28" s="21">
        <f t="shared" si="3"/>
        <v>200</v>
      </c>
      <c r="J28" s="23">
        <f t="shared" si="4"/>
        <v>1200</v>
      </c>
      <c r="K28" s="21">
        <f t="shared" si="5"/>
        <v>800</v>
      </c>
      <c r="L28" s="21">
        <v>2000.0</v>
      </c>
      <c r="M28" s="22">
        <f t="shared" si="6"/>
        <v>2800</v>
      </c>
      <c r="N28" s="22">
        <v>2532.0</v>
      </c>
      <c r="O28" s="24">
        <f t="shared" si="7"/>
        <v>268</v>
      </c>
    </row>
    <row r="29" ht="13.5" customHeight="1">
      <c r="B29" s="38" t="s">
        <v>24</v>
      </c>
      <c r="C29" s="27">
        <v>8.0</v>
      </c>
      <c r="D29" s="21">
        <v>50.0</v>
      </c>
      <c r="E29" s="21">
        <v>50.0</v>
      </c>
      <c r="F29" s="21">
        <f t="shared" si="1"/>
        <v>300</v>
      </c>
      <c r="G29" s="22">
        <v>400.0</v>
      </c>
      <c r="H29" s="20">
        <f t="shared" si="2"/>
        <v>400</v>
      </c>
      <c r="I29" s="21">
        <f t="shared" si="3"/>
        <v>400</v>
      </c>
      <c r="J29" s="23">
        <f t="shared" si="4"/>
        <v>3200</v>
      </c>
      <c r="K29" s="21">
        <f t="shared" si="5"/>
        <v>2400</v>
      </c>
      <c r="L29" s="21">
        <v>3400.0</v>
      </c>
      <c r="M29" s="22">
        <f t="shared" si="6"/>
        <v>5800</v>
      </c>
      <c r="N29" s="22">
        <v>4889.0</v>
      </c>
      <c r="O29" s="24">
        <f t="shared" si="7"/>
        <v>911</v>
      </c>
    </row>
    <row r="30" ht="13.5" customHeight="1">
      <c r="B30" s="37" t="s">
        <v>117</v>
      </c>
      <c r="C30" s="27">
        <v>0.0</v>
      </c>
      <c r="D30" s="21">
        <v>50.0</v>
      </c>
      <c r="E30" s="21">
        <v>50.0</v>
      </c>
      <c r="F30" s="21">
        <f t="shared" si="1"/>
        <v>0</v>
      </c>
      <c r="G30" s="22">
        <v>100.0</v>
      </c>
      <c r="H30" s="20">
        <f t="shared" si="2"/>
        <v>0</v>
      </c>
      <c r="I30" s="21">
        <f t="shared" si="3"/>
        <v>0</v>
      </c>
      <c r="J30" s="23">
        <f t="shared" si="4"/>
        <v>0</v>
      </c>
      <c r="K30" s="21">
        <f t="shared" si="5"/>
        <v>0</v>
      </c>
      <c r="L30" s="21">
        <v>0.0</v>
      </c>
      <c r="M30" s="22">
        <f t="shared" si="6"/>
        <v>0</v>
      </c>
      <c r="N30" s="22">
        <v>0.0</v>
      </c>
      <c r="O30" s="24">
        <f t="shared" si="7"/>
        <v>0</v>
      </c>
    </row>
    <row r="31" ht="13.5" customHeight="1">
      <c r="B31" s="37" t="s">
        <v>30</v>
      </c>
      <c r="C31" s="20">
        <v>7.0</v>
      </c>
      <c r="D31" s="21">
        <v>50.0</v>
      </c>
      <c r="E31" s="21">
        <v>50.0</v>
      </c>
      <c r="F31" s="21">
        <f t="shared" si="1"/>
        <v>100</v>
      </c>
      <c r="G31" s="22">
        <v>200.0</v>
      </c>
      <c r="H31" s="20">
        <f t="shared" si="2"/>
        <v>350</v>
      </c>
      <c r="I31" s="21">
        <f t="shared" si="3"/>
        <v>350</v>
      </c>
      <c r="J31" s="23">
        <f t="shared" si="4"/>
        <v>1400</v>
      </c>
      <c r="K31" s="21">
        <f t="shared" si="5"/>
        <v>700</v>
      </c>
      <c r="L31" s="21">
        <v>0.0</v>
      </c>
      <c r="M31" s="22">
        <f t="shared" si="6"/>
        <v>700</v>
      </c>
      <c r="N31" s="22">
        <v>700.0</v>
      </c>
      <c r="O31" s="24">
        <f t="shared" si="7"/>
        <v>0</v>
      </c>
    </row>
    <row r="32" ht="13.5" customHeight="1">
      <c r="B32" s="37" t="s">
        <v>31</v>
      </c>
      <c r="C32" s="20">
        <v>12.0</v>
      </c>
      <c r="D32" s="21">
        <v>50.0</v>
      </c>
      <c r="E32" s="21">
        <v>50.0</v>
      </c>
      <c r="F32" s="21">
        <f t="shared" si="1"/>
        <v>100</v>
      </c>
      <c r="G32" s="22">
        <v>200.0</v>
      </c>
      <c r="H32" s="20">
        <f t="shared" si="2"/>
        <v>600</v>
      </c>
      <c r="I32" s="21">
        <f t="shared" si="3"/>
        <v>600</v>
      </c>
      <c r="J32" s="23">
        <f t="shared" si="4"/>
        <v>2400</v>
      </c>
      <c r="K32" s="21">
        <f t="shared" si="5"/>
        <v>1200</v>
      </c>
      <c r="L32" s="21">
        <v>0.0</v>
      </c>
      <c r="M32" s="22">
        <f t="shared" si="6"/>
        <v>1200</v>
      </c>
      <c r="N32" s="22">
        <v>1200.0</v>
      </c>
      <c r="O32" s="24">
        <f t="shared" si="7"/>
        <v>0</v>
      </c>
    </row>
    <row r="33" ht="13.5" customHeight="1">
      <c r="B33" s="37" t="s">
        <v>40</v>
      </c>
      <c r="C33" s="20">
        <v>2.0</v>
      </c>
      <c r="D33" s="21">
        <v>30.0</v>
      </c>
      <c r="E33" s="21">
        <v>0.0</v>
      </c>
      <c r="F33" s="21">
        <f t="shared" si="1"/>
        <v>0</v>
      </c>
      <c r="G33" s="22">
        <v>30.0</v>
      </c>
      <c r="H33" s="20">
        <f t="shared" si="2"/>
        <v>60</v>
      </c>
      <c r="I33" s="21">
        <f t="shared" si="3"/>
        <v>0</v>
      </c>
      <c r="J33" s="23">
        <f t="shared" si="4"/>
        <v>60</v>
      </c>
      <c r="K33" s="21">
        <f t="shared" si="5"/>
        <v>0</v>
      </c>
      <c r="L33" s="21">
        <v>0.0</v>
      </c>
      <c r="M33" s="22">
        <f t="shared" si="6"/>
        <v>0</v>
      </c>
      <c r="N33" s="22">
        <v>0.0</v>
      </c>
      <c r="O33" s="24">
        <f t="shared" si="7"/>
        <v>0</v>
      </c>
    </row>
    <row r="34" ht="13.5" customHeight="1">
      <c r="B34" s="37" t="s">
        <v>41</v>
      </c>
      <c r="C34" s="20">
        <v>6.0</v>
      </c>
      <c r="D34" s="21">
        <v>30.0</v>
      </c>
      <c r="E34" s="21">
        <v>0.0</v>
      </c>
      <c r="F34" s="21">
        <f t="shared" si="1"/>
        <v>0</v>
      </c>
      <c r="G34" s="22">
        <v>30.0</v>
      </c>
      <c r="H34" s="20">
        <f t="shared" si="2"/>
        <v>180</v>
      </c>
      <c r="I34" s="21">
        <f t="shared" si="3"/>
        <v>0</v>
      </c>
      <c r="J34" s="23">
        <f t="shared" si="4"/>
        <v>180</v>
      </c>
      <c r="K34" s="21">
        <f t="shared" si="5"/>
        <v>0</v>
      </c>
      <c r="L34" s="21">
        <v>0.0</v>
      </c>
      <c r="M34" s="22">
        <f t="shared" si="6"/>
        <v>0</v>
      </c>
      <c r="N34" s="22">
        <v>0.0</v>
      </c>
      <c r="O34" s="24">
        <f t="shared" si="7"/>
        <v>0</v>
      </c>
    </row>
    <row r="35" ht="13.5" customHeight="1">
      <c r="B35" s="37" t="s">
        <v>42</v>
      </c>
      <c r="C35" s="20">
        <v>13.0</v>
      </c>
      <c r="D35" s="21">
        <v>50.0</v>
      </c>
      <c r="E35" s="21">
        <v>50.0</v>
      </c>
      <c r="F35" s="21">
        <f t="shared" si="1"/>
        <v>400</v>
      </c>
      <c r="G35" s="22">
        <v>500.0</v>
      </c>
      <c r="H35" s="20">
        <f t="shared" si="2"/>
        <v>650</v>
      </c>
      <c r="I35" s="21">
        <f t="shared" si="3"/>
        <v>650</v>
      </c>
      <c r="J35" s="23">
        <f t="shared" si="4"/>
        <v>6500</v>
      </c>
      <c r="K35" s="21">
        <f t="shared" si="5"/>
        <v>5200</v>
      </c>
      <c r="L35" s="21">
        <v>7200.0</v>
      </c>
      <c r="M35" s="22">
        <f t="shared" si="6"/>
        <v>12400</v>
      </c>
      <c r="N35" s="22">
        <v>10658.04</v>
      </c>
      <c r="O35" s="24">
        <f t="shared" si="7"/>
        <v>1741.96</v>
      </c>
    </row>
    <row r="36" ht="13.5" customHeight="1">
      <c r="B36" s="37" t="s">
        <v>43</v>
      </c>
      <c r="C36" s="20">
        <v>13.0</v>
      </c>
      <c r="D36" s="21">
        <v>50.0</v>
      </c>
      <c r="E36" s="21">
        <v>50.0</v>
      </c>
      <c r="F36" s="21">
        <f t="shared" si="1"/>
        <v>200</v>
      </c>
      <c r="G36" s="22">
        <v>300.0</v>
      </c>
      <c r="H36" s="20">
        <f t="shared" si="2"/>
        <v>650</v>
      </c>
      <c r="I36" s="21">
        <f t="shared" si="3"/>
        <v>650</v>
      </c>
      <c r="J36" s="23">
        <f t="shared" si="4"/>
        <v>3900</v>
      </c>
      <c r="K36" s="21">
        <f t="shared" si="5"/>
        <v>2600</v>
      </c>
      <c r="L36" s="21">
        <v>2000.0</v>
      </c>
      <c r="M36" s="22">
        <f t="shared" si="6"/>
        <v>4600</v>
      </c>
      <c r="N36" s="22">
        <v>3596.0</v>
      </c>
      <c r="O36" s="24">
        <f t="shared" si="7"/>
        <v>1004</v>
      </c>
    </row>
    <row r="37" ht="13.5" customHeight="1">
      <c r="B37" s="39" t="s">
        <v>44</v>
      </c>
      <c r="C37" s="40">
        <v>5.0</v>
      </c>
      <c r="D37" s="41">
        <v>50.0</v>
      </c>
      <c r="E37" s="41">
        <v>50.0</v>
      </c>
      <c r="F37" s="41">
        <f t="shared" si="1"/>
        <v>300</v>
      </c>
      <c r="G37" s="42">
        <v>400.0</v>
      </c>
      <c r="H37" s="40">
        <f t="shared" si="2"/>
        <v>250</v>
      </c>
      <c r="I37" s="41">
        <f t="shared" si="3"/>
        <v>250</v>
      </c>
      <c r="J37" s="43">
        <f t="shared" si="4"/>
        <v>2000</v>
      </c>
      <c r="K37" s="41">
        <f t="shared" si="5"/>
        <v>1500</v>
      </c>
      <c r="L37" s="41">
        <v>3400.0</v>
      </c>
      <c r="M37" s="42">
        <f t="shared" si="6"/>
        <v>4900</v>
      </c>
      <c r="N37" s="42">
        <v>4331.0</v>
      </c>
      <c r="O37" s="44">
        <f t="shared" si="7"/>
        <v>569</v>
      </c>
    </row>
    <row r="38" ht="13.5" customHeight="1">
      <c r="H38" s="45">
        <f t="shared" ref="H38:O38" si="8">SUM(H4:H37)</f>
        <v>12340</v>
      </c>
      <c r="I38" s="45">
        <f t="shared" si="8"/>
        <v>9300</v>
      </c>
      <c r="J38" s="46">
        <f t="shared" si="8"/>
        <v>55540</v>
      </c>
      <c r="K38" s="45">
        <f t="shared" si="8"/>
        <v>33900</v>
      </c>
      <c r="L38" s="45">
        <f t="shared" si="8"/>
        <v>36000</v>
      </c>
      <c r="M38" s="45">
        <f t="shared" si="8"/>
        <v>69900</v>
      </c>
      <c r="N38" s="45">
        <f t="shared" si="8"/>
        <v>60552.04</v>
      </c>
      <c r="O38" s="47">
        <f t="shared" si="8"/>
        <v>9347.96</v>
      </c>
    </row>
    <row r="39" ht="13.5" customHeight="1"/>
    <row r="40" ht="13.5" customHeight="1">
      <c r="B40" s="5" t="s">
        <v>2</v>
      </c>
      <c r="C40" s="6" t="s">
        <v>3</v>
      </c>
      <c r="D40" s="7" t="s">
        <v>4</v>
      </c>
      <c r="E40" s="7" t="s">
        <v>5</v>
      </c>
      <c r="F40" s="7" t="s">
        <v>6</v>
      </c>
      <c r="G40" s="8" t="s">
        <v>7</v>
      </c>
      <c r="H40" s="7" t="s">
        <v>8</v>
      </c>
      <c r="I40" s="164" t="s">
        <v>9</v>
      </c>
      <c r="J40" s="164" t="s">
        <v>10</v>
      </c>
      <c r="K40" s="7" t="s">
        <v>11</v>
      </c>
      <c r="L40" s="10" t="s">
        <v>12</v>
      </c>
      <c r="M40" s="10" t="s">
        <v>13</v>
      </c>
      <c r="N40" s="10" t="s">
        <v>14</v>
      </c>
      <c r="O40" s="11" t="s">
        <v>15</v>
      </c>
    </row>
    <row r="41" ht="13.5" customHeight="1">
      <c r="B41" s="165" t="s">
        <v>118</v>
      </c>
      <c r="C41" s="166">
        <v>7.0</v>
      </c>
      <c r="D41" s="94">
        <v>0.0</v>
      </c>
      <c r="E41" s="94">
        <v>0.0</v>
      </c>
      <c r="F41" s="14">
        <f t="shared" ref="F41:F50" si="9">G41-E41-D41</f>
        <v>300</v>
      </c>
      <c r="G41" s="140">
        <v>300.0</v>
      </c>
      <c r="H41" s="13">
        <f t="shared" ref="H41:H50" si="10">D41*C41</f>
        <v>0</v>
      </c>
      <c r="I41" s="14">
        <f t="shared" ref="I41:I50" si="11">C41*E41</f>
        <v>0</v>
      </c>
      <c r="J41" s="16">
        <f t="shared" ref="J41:J50" si="12">C41*G41</f>
        <v>2100</v>
      </c>
      <c r="K41" s="14">
        <f t="shared" ref="K41:K50" si="13">F41*C41</f>
        <v>2100</v>
      </c>
      <c r="L41" s="94">
        <v>2000.0</v>
      </c>
      <c r="M41" s="15">
        <f t="shared" ref="M41:M50" si="14">L41+K41</f>
        <v>4100</v>
      </c>
      <c r="N41" s="94">
        <v>2931.0</v>
      </c>
      <c r="O41" s="17">
        <f t="shared" ref="O41:O50" si="15">M41-N41</f>
        <v>1169</v>
      </c>
    </row>
    <row r="42" ht="13.5" customHeight="1">
      <c r="B42" s="167" t="s">
        <v>119</v>
      </c>
      <c r="C42" s="27">
        <v>4.0</v>
      </c>
      <c r="D42" s="100">
        <v>0.0</v>
      </c>
      <c r="E42" s="100">
        <v>0.0</v>
      </c>
      <c r="F42" s="21">
        <f t="shared" si="9"/>
        <v>0</v>
      </c>
      <c r="G42" s="104">
        <v>0.0</v>
      </c>
      <c r="H42" s="20">
        <f t="shared" si="10"/>
        <v>0</v>
      </c>
      <c r="I42" s="21">
        <f t="shared" si="11"/>
        <v>0</v>
      </c>
      <c r="J42" s="23">
        <f t="shared" si="12"/>
        <v>0</v>
      </c>
      <c r="K42" s="21">
        <f t="shared" si="13"/>
        <v>0</v>
      </c>
      <c r="L42" s="100">
        <v>1200.0</v>
      </c>
      <c r="M42" s="22">
        <f t="shared" si="14"/>
        <v>1200</v>
      </c>
      <c r="N42" s="100">
        <v>1306.4</v>
      </c>
      <c r="O42" s="24">
        <f t="shared" si="15"/>
        <v>-106.4</v>
      </c>
    </row>
    <row r="43" ht="13.5" customHeight="1">
      <c r="B43" s="167" t="s">
        <v>120</v>
      </c>
      <c r="C43" s="27">
        <v>7.0</v>
      </c>
      <c r="D43" s="100">
        <v>0.0</v>
      </c>
      <c r="E43" s="100">
        <v>0.0</v>
      </c>
      <c r="F43" s="21">
        <f t="shared" si="9"/>
        <v>0</v>
      </c>
      <c r="G43" s="104">
        <v>0.0</v>
      </c>
      <c r="H43" s="20">
        <f t="shared" si="10"/>
        <v>0</v>
      </c>
      <c r="I43" s="21">
        <f t="shared" si="11"/>
        <v>0</v>
      </c>
      <c r="J43" s="23">
        <f t="shared" si="12"/>
        <v>0</v>
      </c>
      <c r="K43" s="21">
        <f t="shared" si="13"/>
        <v>0</v>
      </c>
      <c r="L43" s="100">
        <v>1600.0</v>
      </c>
      <c r="M43" s="22">
        <f t="shared" si="14"/>
        <v>1600</v>
      </c>
      <c r="N43" s="100">
        <v>2065.5</v>
      </c>
      <c r="O43" s="24">
        <f t="shared" si="15"/>
        <v>-465.5</v>
      </c>
    </row>
    <row r="44" ht="13.5" customHeight="1">
      <c r="B44" s="167" t="s">
        <v>121</v>
      </c>
      <c r="C44" s="27">
        <v>10.0</v>
      </c>
      <c r="D44" s="100">
        <v>0.0</v>
      </c>
      <c r="E44" s="100">
        <v>0.0</v>
      </c>
      <c r="F44" s="21">
        <f t="shared" si="9"/>
        <v>0</v>
      </c>
      <c r="G44" s="104">
        <v>0.0</v>
      </c>
      <c r="H44" s="20">
        <f t="shared" si="10"/>
        <v>0</v>
      </c>
      <c r="I44" s="21">
        <f t="shared" si="11"/>
        <v>0</v>
      </c>
      <c r="J44" s="23">
        <f t="shared" si="12"/>
        <v>0</v>
      </c>
      <c r="K44" s="21">
        <f t="shared" si="13"/>
        <v>0</v>
      </c>
      <c r="L44" s="100">
        <v>2000.0</v>
      </c>
      <c r="M44" s="22">
        <f t="shared" si="14"/>
        <v>2000</v>
      </c>
      <c r="N44" s="100">
        <v>2931.0</v>
      </c>
      <c r="O44" s="24">
        <f t="shared" si="15"/>
        <v>-931</v>
      </c>
    </row>
    <row r="45" ht="13.5" customHeight="1">
      <c r="B45" s="167" t="s">
        <v>122</v>
      </c>
      <c r="C45" s="27">
        <v>16.0</v>
      </c>
      <c r="D45" s="100">
        <v>0.0</v>
      </c>
      <c r="E45" s="100">
        <v>0.0</v>
      </c>
      <c r="F45" s="21">
        <f t="shared" si="9"/>
        <v>620</v>
      </c>
      <c r="G45" s="104">
        <v>620.0</v>
      </c>
      <c r="H45" s="20">
        <f t="shared" si="10"/>
        <v>0</v>
      </c>
      <c r="I45" s="21">
        <f t="shared" si="11"/>
        <v>0</v>
      </c>
      <c r="J45" s="23">
        <f t="shared" si="12"/>
        <v>9920</v>
      </c>
      <c r="K45" s="21">
        <f t="shared" si="13"/>
        <v>9920</v>
      </c>
      <c r="L45" s="100">
        <v>2400.0</v>
      </c>
      <c r="M45" s="22">
        <f t="shared" si="14"/>
        <v>12320</v>
      </c>
      <c r="N45" s="100">
        <v>8557.9</v>
      </c>
      <c r="O45" s="24">
        <f t="shared" si="15"/>
        <v>3762.1</v>
      </c>
    </row>
    <row r="46" ht="13.5" customHeight="1">
      <c r="B46" s="167" t="s">
        <v>123</v>
      </c>
      <c r="C46" s="27">
        <v>11.0</v>
      </c>
      <c r="D46" s="100">
        <v>0.0</v>
      </c>
      <c r="E46" s="100">
        <v>0.0</v>
      </c>
      <c r="F46" s="21">
        <f t="shared" si="9"/>
        <v>0</v>
      </c>
      <c r="G46" s="104">
        <v>0.0</v>
      </c>
      <c r="H46" s="20">
        <f t="shared" si="10"/>
        <v>0</v>
      </c>
      <c r="I46" s="21">
        <f t="shared" si="11"/>
        <v>0</v>
      </c>
      <c r="J46" s="23">
        <f t="shared" si="12"/>
        <v>0</v>
      </c>
      <c r="K46" s="21">
        <f t="shared" si="13"/>
        <v>0</v>
      </c>
      <c r="L46" s="100">
        <v>1000.0</v>
      </c>
      <c r="M46" s="22">
        <f t="shared" si="14"/>
        <v>1000</v>
      </c>
      <c r="N46" s="100">
        <v>1292.6</v>
      </c>
      <c r="O46" s="24">
        <f t="shared" si="15"/>
        <v>-292.6</v>
      </c>
    </row>
    <row r="47" ht="13.5" customHeight="1">
      <c r="B47" s="167" t="s">
        <v>124</v>
      </c>
      <c r="C47" s="27">
        <v>20.0</v>
      </c>
      <c r="D47" s="100">
        <v>0.0</v>
      </c>
      <c r="E47" s="100">
        <v>0.0</v>
      </c>
      <c r="F47" s="21">
        <f t="shared" si="9"/>
        <v>0</v>
      </c>
      <c r="G47" s="104">
        <v>0.0</v>
      </c>
      <c r="H47" s="20">
        <f t="shared" si="10"/>
        <v>0</v>
      </c>
      <c r="I47" s="21">
        <f t="shared" si="11"/>
        <v>0</v>
      </c>
      <c r="J47" s="23">
        <f t="shared" si="12"/>
        <v>0</v>
      </c>
      <c r="K47" s="21">
        <f t="shared" si="13"/>
        <v>0</v>
      </c>
      <c r="L47" s="100">
        <v>1400.0</v>
      </c>
      <c r="M47" s="22">
        <f t="shared" si="14"/>
        <v>1400</v>
      </c>
      <c r="N47" s="100">
        <v>2463.98</v>
      </c>
      <c r="O47" s="24">
        <f t="shared" si="15"/>
        <v>-1063.98</v>
      </c>
    </row>
    <row r="48" ht="13.5" customHeight="1">
      <c r="B48" s="167" t="s">
        <v>125</v>
      </c>
      <c r="C48" s="27">
        <v>22.0</v>
      </c>
      <c r="D48" s="100">
        <v>0.0</v>
      </c>
      <c r="E48" s="100">
        <v>0.0</v>
      </c>
      <c r="F48" s="21">
        <f t="shared" si="9"/>
        <v>0</v>
      </c>
      <c r="G48" s="104">
        <v>0.0</v>
      </c>
      <c r="H48" s="20">
        <f t="shared" si="10"/>
        <v>0</v>
      </c>
      <c r="I48" s="21">
        <f t="shared" si="11"/>
        <v>0</v>
      </c>
      <c r="J48" s="23">
        <f t="shared" si="12"/>
        <v>0</v>
      </c>
      <c r="K48" s="21">
        <f t="shared" si="13"/>
        <v>0</v>
      </c>
      <c r="L48" s="100">
        <v>1800.0</v>
      </c>
      <c r="M48" s="22">
        <f t="shared" si="14"/>
        <v>1800</v>
      </c>
      <c r="N48" s="100">
        <v>3555.61</v>
      </c>
      <c r="O48" s="24">
        <f t="shared" si="15"/>
        <v>-1755.61</v>
      </c>
    </row>
    <row r="49" ht="13.5" customHeight="1">
      <c r="B49" s="167" t="s">
        <v>126</v>
      </c>
      <c r="C49" s="27">
        <v>25.0</v>
      </c>
      <c r="D49" s="100">
        <v>0.0</v>
      </c>
      <c r="E49" s="100">
        <v>0.0</v>
      </c>
      <c r="F49" s="21">
        <f t="shared" si="9"/>
        <v>520</v>
      </c>
      <c r="G49" s="104">
        <v>520.0</v>
      </c>
      <c r="H49" s="20">
        <f t="shared" si="10"/>
        <v>0</v>
      </c>
      <c r="I49" s="21">
        <f t="shared" si="11"/>
        <v>0</v>
      </c>
      <c r="J49" s="23">
        <f t="shared" si="12"/>
        <v>13000</v>
      </c>
      <c r="K49" s="21">
        <f t="shared" si="13"/>
        <v>13000</v>
      </c>
      <c r="L49" s="100">
        <v>2200.0</v>
      </c>
      <c r="M49" s="22">
        <f t="shared" si="14"/>
        <v>15200</v>
      </c>
      <c r="N49" s="100">
        <v>9727.81</v>
      </c>
      <c r="O49" s="24">
        <f t="shared" si="15"/>
        <v>5472.19</v>
      </c>
    </row>
    <row r="50" ht="13.5" customHeight="1">
      <c r="B50" s="168" t="s">
        <v>127</v>
      </c>
      <c r="C50" s="110">
        <v>17.0</v>
      </c>
      <c r="D50" s="111">
        <v>0.0</v>
      </c>
      <c r="E50" s="111">
        <v>0.0</v>
      </c>
      <c r="F50" s="41">
        <f t="shared" si="9"/>
        <v>600</v>
      </c>
      <c r="G50" s="144">
        <v>600.0</v>
      </c>
      <c r="H50" s="40">
        <f t="shared" si="10"/>
        <v>0</v>
      </c>
      <c r="I50" s="41">
        <f t="shared" si="11"/>
        <v>0</v>
      </c>
      <c r="J50" s="43">
        <f t="shared" si="12"/>
        <v>10200</v>
      </c>
      <c r="K50" s="41">
        <f t="shared" si="13"/>
        <v>10200</v>
      </c>
      <c r="L50" s="111">
        <v>6000.0</v>
      </c>
      <c r="M50" s="42">
        <f t="shared" si="14"/>
        <v>16200</v>
      </c>
      <c r="N50" s="111">
        <v>12783.0</v>
      </c>
      <c r="O50" s="44">
        <f t="shared" si="15"/>
        <v>3417</v>
      </c>
    </row>
    <row r="51" ht="13.5" customHeight="1">
      <c r="C51" s="45">
        <f>SUM(C41:C50)</f>
        <v>139</v>
      </c>
      <c r="J51" s="45">
        <f>SUM(J41:J50)</f>
        <v>35220</v>
      </c>
      <c r="L51" s="45">
        <f t="shared" ref="L51:O51" si="16">SUM(L41:L50)</f>
        <v>21600</v>
      </c>
      <c r="M51" s="45">
        <f t="shared" si="16"/>
        <v>56820</v>
      </c>
      <c r="N51" s="45">
        <f t="shared" si="16"/>
        <v>47614.8</v>
      </c>
      <c r="O51" s="47">
        <f t="shared" si="16"/>
        <v>9205.2</v>
      </c>
    </row>
    <row r="52" ht="13.5" customHeight="1"/>
    <row r="53" ht="13.5" customHeight="1">
      <c r="B53" s="48" t="s">
        <v>45</v>
      </c>
      <c r="C53" s="28">
        <f>SUM(C4:C37)-C4-C13-C21-C30</f>
        <v>239</v>
      </c>
    </row>
    <row r="54" ht="13.5" customHeight="1">
      <c r="B54" s="49" t="s">
        <v>46</v>
      </c>
      <c r="C54" s="28">
        <v>72710.0</v>
      </c>
      <c r="P54" s="28"/>
    </row>
    <row r="55" ht="13.5" customHeight="1">
      <c r="B55" s="50" t="s">
        <v>110</v>
      </c>
      <c r="C55" s="51">
        <f>10600+6040+1100</f>
        <v>17740</v>
      </c>
      <c r="P55" s="28"/>
    </row>
    <row r="56" ht="13.5" customHeight="1">
      <c r="B56" s="49" t="s">
        <v>89</v>
      </c>
      <c r="C56" s="28">
        <f>150+170</f>
        <v>320</v>
      </c>
      <c r="P56" s="28"/>
    </row>
    <row r="57" ht="13.5" customHeight="1">
      <c r="B57" s="49" t="s">
        <v>48</v>
      </c>
      <c r="C57" s="28">
        <v>-10.0</v>
      </c>
    </row>
    <row r="58" ht="13.5" customHeight="1">
      <c r="B58" s="52" t="s">
        <v>49</v>
      </c>
      <c r="C58" s="46">
        <f>C54+C55+C56+C57</f>
        <v>90760</v>
      </c>
    </row>
    <row r="59" ht="13.5" customHeight="1">
      <c r="C59" s="28"/>
    </row>
    <row r="60" ht="13.5" customHeight="1">
      <c r="B60" s="52" t="s">
        <v>50</v>
      </c>
      <c r="C60" s="46">
        <f>I38</f>
        <v>9300</v>
      </c>
    </row>
    <row r="61" ht="13.5" customHeight="1">
      <c r="B61" s="52" t="s">
        <v>51</v>
      </c>
      <c r="C61" s="46">
        <f>H38</f>
        <v>12340</v>
      </c>
    </row>
    <row r="62" ht="13.5" customHeight="1">
      <c r="B62" s="52" t="s">
        <v>52</v>
      </c>
      <c r="C62" s="46">
        <f>K38</f>
        <v>33900</v>
      </c>
    </row>
    <row r="63" ht="13.5" customHeight="1">
      <c r="C63" s="28"/>
    </row>
    <row r="64" ht="13.5" customHeight="1">
      <c r="B64" s="53" t="s">
        <v>128</v>
      </c>
      <c r="C64" s="54">
        <f>SUM(L4:L20)</f>
        <v>10400</v>
      </c>
    </row>
    <row r="65" ht="13.5" customHeight="1">
      <c r="B65" s="55" t="s">
        <v>129</v>
      </c>
      <c r="C65" s="56">
        <f>SUM(L21:L37)</f>
        <v>25600</v>
      </c>
    </row>
    <row r="66" ht="13.5" customHeight="1">
      <c r="A66" s="57"/>
      <c r="B66" s="49" t="s">
        <v>55</v>
      </c>
      <c r="C66" s="58">
        <f>C65+C64+C62</f>
        <v>69900</v>
      </c>
    </row>
    <row r="67" ht="13.5" customHeight="1">
      <c r="A67" s="59"/>
    </row>
    <row r="68" ht="13.5" customHeight="1">
      <c r="A68" s="60"/>
      <c r="B68" s="61" t="s">
        <v>56</v>
      </c>
      <c r="C68" s="61">
        <f>C60*70%</f>
        <v>6510</v>
      </c>
    </row>
    <row r="69" ht="13.5" customHeight="1">
      <c r="A69" s="60"/>
      <c r="C69" s="62"/>
    </row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B1:O1"/>
    <mergeCell ref="B2:O2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30.63"/>
    <col customWidth="1" min="2" max="26" width="8.63"/>
  </cols>
  <sheetData>
    <row r="1" ht="13.5" customHeight="1">
      <c r="A1" s="63" t="s">
        <v>116</v>
      </c>
    </row>
    <row r="2" ht="13.5" customHeight="1">
      <c r="A2" s="64" t="s">
        <v>130</v>
      </c>
      <c r="B2" s="65"/>
      <c r="C2" s="65"/>
      <c r="D2" s="66"/>
    </row>
    <row r="3" ht="13.5" customHeight="1">
      <c r="A3" s="67"/>
      <c r="B3" s="169" t="s">
        <v>3</v>
      </c>
      <c r="C3" s="69" t="s">
        <v>59</v>
      </c>
      <c r="D3" s="69" t="s">
        <v>7</v>
      </c>
      <c r="E3" s="69" t="s">
        <v>60</v>
      </c>
      <c r="F3" s="69" t="s">
        <v>61</v>
      </c>
      <c r="G3" s="69" t="s">
        <v>62</v>
      </c>
      <c r="H3" s="70" t="s">
        <v>63</v>
      </c>
    </row>
    <row r="4" ht="13.5" customHeight="1">
      <c r="A4" s="124" t="s">
        <v>131</v>
      </c>
      <c r="B4" s="76">
        <v>8.0</v>
      </c>
      <c r="C4" s="73">
        <v>170.0</v>
      </c>
      <c r="D4" s="74">
        <v>0.0</v>
      </c>
      <c r="E4" s="75">
        <f t="shared" ref="E4:E7" si="1">C4+D4</f>
        <v>170</v>
      </c>
      <c r="F4" s="76">
        <f t="shared" ref="F4:F59" si="2">E4*B4</f>
        <v>1360</v>
      </c>
      <c r="G4" s="73">
        <f t="shared" ref="G4:G59" si="3">C4*B4</f>
        <v>1360</v>
      </c>
      <c r="H4" s="77">
        <f t="shared" ref="H4:H59" si="4">D4*B4</f>
        <v>0</v>
      </c>
    </row>
    <row r="5" ht="13.5" customHeight="1">
      <c r="A5" s="125" t="s">
        <v>132</v>
      </c>
      <c r="B5" s="83">
        <v>54.0</v>
      </c>
      <c r="C5" s="80">
        <v>240.0</v>
      </c>
      <c r="D5" s="81">
        <v>0.0</v>
      </c>
      <c r="E5" s="82">
        <f t="shared" si="1"/>
        <v>240</v>
      </c>
      <c r="F5" s="83">
        <f t="shared" si="2"/>
        <v>12960</v>
      </c>
      <c r="G5" s="80">
        <f t="shared" si="3"/>
        <v>12960</v>
      </c>
      <c r="H5" s="84">
        <f t="shared" si="4"/>
        <v>0</v>
      </c>
    </row>
    <row r="6" ht="13.5" customHeight="1">
      <c r="A6" s="125" t="s">
        <v>73</v>
      </c>
      <c r="B6" s="83">
        <v>10.0</v>
      </c>
      <c r="C6" s="80">
        <v>240.0</v>
      </c>
      <c r="D6" s="81">
        <v>0.0</v>
      </c>
      <c r="E6" s="82">
        <f t="shared" si="1"/>
        <v>240</v>
      </c>
      <c r="F6" s="83">
        <f t="shared" si="2"/>
        <v>2400</v>
      </c>
      <c r="G6" s="80">
        <f t="shared" si="3"/>
        <v>2400</v>
      </c>
      <c r="H6" s="84">
        <f t="shared" si="4"/>
        <v>0</v>
      </c>
    </row>
    <row r="7" ht="13.5" customHeight="1">
      <c r="A7" s="151" t="s">
        <v>74</v>
      </c>
      <c r="B7" s="152">
        <v>1.0</v>
      </c>
      <c r="C7" s="87">
        <v>170.0</v>
      </c>
      <c r="D7" s="88">
        <v>0.0</v>
      </c>
      <c r="E7" s="153">
        <f t="shared" si="1"/>
        <v>170</v>
      </c>
      <c r="F7" s="152">
        <f t="shared" si="2"/>
        <v>170</v>
      </c>
      <c r="G7" s="87">
        <f t="shared" si="3"/>
        <v>170</v>
      </c>
      <c r="H7" s="154">
        <f t="shared" si="4"/>
        <v>0</v>
      </c>
    </row>
    <row r="8" ht="13.5" customHeight="1">
      <c r="A8" s="170" t="s">
        <v>16</v>
      </c>
      <c r="B8" s="139">
        <v>12.0</v>
      </c>
      <c r="C8" s="94">
        <v>200.0</v>
      </c>
      <c r="D8" s="17">
        <f t="shared" ref="D8:D16" si="5">E8-C8</f>
        <v>100</v>
      </c>
      <c r="E8" s="16">
        <v>300.0</v>
      </c>
      <c r="F8" s="139">
        <f t="shared" si="2"/>
        <v>3600</v>
      </c>
      <c r="G8" s="94">
        <f t="shared" si="3"/>
        <v>2400</v>
      </c>
      <c r="H8" s="140">
        <f t="shared" si="4"/>
        <v>1200</v>
      </c>
    </row>
    <row r="9" ht="13.5" customHeight="1">
      <c r="A9" s="120" t="s">
        <v>18</v>
      </c>
      <c r="B9" s="106">
        <v>14.0</v>
      </c>
      <c r="C9" s="100">
        <v>200.0</v>
      </c>
      <c r="D9" s="24">
        <f t="shared" si="5"/>
        <v>200</v>
      </c>
      <c r="E9" s="23">
        <v>400.0</v>
      </c>
      <c r="F9" s="96">
        <f t="shared" si="2"/>
        <v>5600</v>
      </c>
      <c r="G9" s="97">
        <f t="shared" si="3"/>
        <v>2800</v>
      </c>
      <c r="H9" s="98">
        <f t="shared" si="4"/>
        <v>2800</v>
      </c>
    </row>
    <row r="10" ht="13.5" customHeight="1">
      <c r="A10" s="120" t="s">
        <v>17</v>
      </c>
      <c r="B10" s="106">
        <v>11.0</v>
      </c>
      <c r="C10" s="100">
        <v>150.0</v>
      </c>
      <c r="D10" s="24">
        <f t="shared" si="5"/>
        <v>150</v>
      </c>
      <c r="E10" s="23">
        <v>300.0</v>
      </c>
      <c r="F10" s="96">
        <f t="shared" si="2"/>
        <v>3300</v>
      </c>
      <c r="G10" s="97">
        <f t="shared" si="3"/>
        <v>1650</v>
      </c>
      <c r="H10" s="98">
        <f t="shared" si="4"/>
        <v>1650</v>
      </c>
    </row>
    <row r="11" ht="13.5" customHeight="1">
      <c r="A11" s="120" t="s">
        <v>19</v>
      </c>
      <c r="B11" s="106">
        <v>14.0</v>
      </c>
      <c r="C11" s="100">
        <v>170.0</v>
      </c>
      <c r="D11" s="24">
        <f t="shared" si="5"/>
        <v>30</v>
      </c>
      <c r="E11" s="23">
        <v>200.0</v>
      </c>
      <c r="F11" s="96">
        <f t="shared" si="2"/>
        <v>2800</v>
      </c>
      <c r="G11" s="97">
        <f t="shared" si="3"/>
        <v>2380</v>
      </c>
      <c r="H11" s="98">
        <f t="shared" si="4"/>
        <v>420</v>
      </c>
    </row>
    <row r="12" ht="13.5" customHeight="1">
      <c r="A12" s="118" t="s">
        <v>20</v>
      </c>
      <c r="B12" s="106">
        <v>4.0</v>
      </c>
      <c r="C12" s="100">
        <v>170.0</v>
      </c>
      <c r="D12" s="24">
        <f t="shared" si="5"/>
        <v>30</v>
      </c>
      <c r="E12" s="23">
        <v>200.0</v>
      </c>
      <c r="F12" s="96">
        <f t="shared" si="2"/>
        <v>800</v>
      </c>
      <c r="G12" s="97">
        <f t="shared" si="3"/>
        <v>680</v>
      </c>
      <c r="H12" s="98">
        <f t="shared" si="4"/>
        <v>120</v>
      </c>
    </row>
    <row r="13" ht="13.5" customHeight="1">
      <c r="A13" s="120" t="s">
        <v>21</v>
      </c>
      <c r="B13" s="106">
        <v>7.0</v>
      </c>
      <c r="C13" s="100">
        <v>200.0</v>
      </c>
      <c r="D13" s="24">
        <f t="shared" si="5"/>
        <v>200</v>
      </c>
      <c r="E13" s="23">
        <v>400.0</v>
      </c>
      <c r="F13" s="96">
        <f t="shared" si="2"/>
        <v>2800</v>
      </c>
      <c r="G13" s="97">
        <f t="shared" si="3"/>
        <v>1400</v>
      </c>
      <c r="H13" s="98">
        <f t="shared" si="4"/>
        <v>1400</v>
      </c>
    </row>
    <row r="14" ht="13.5" customHeight="1">
      <c r="A14" s="120" t="s">
        <v>22</v>
      </c>
      <c r="B14" s="106">
        <v>6.0</v>
      </c>
      <c r="C14" s="100">
        <v>200.0</v>
      </c>
      <c r="D14" s="24">
        <f t="shared" si="5"/>
        <v>300</v>
      </c>
      <c r="E14" s="23">
        <v>500.0</v>
      </c>
      <c r="F14" s="96">
        <f t="shared" si="2"/>
        <v>3000</v>
      </c>
      <c r="G14" s="97">
        <f t="shared" si="3"/>
        <v>1200</v>
      </c>
      <c r="H14" s="98">
        <f t="shared" si="4"/>
        <v>1800</v>
      </c>
    </row>
    <row r="15" ht="13.5" customHeight="1">
      <c r="A15" s="117" t="s">
        <v>23</v>
      </c>
      <c r="B15" s="20">
        <v>3.0</v>
      </c>
      <c r="C15" s="100">
        <v>200.0</v>
      </c>
      <c r="D15" s="24">
        <f t="shared" si="5"/>
        <v>250</v>
      </c>
      <c r="E15" s="23">
        <v>450.0</v>
      </c>
      <c r="F15" s="106">
        <f t="shared" si="2"/>
        <v>1350</v>
      </c>
      <c r="G15" s="100">
        <f t="shared" si="3"/>
        <v>600</v>
      </c>
      <c r="H15" s="104">
        <f t="shared" si="4"/>
        <v>750</v>
      </c>
    </row>
    <row r="16" ht="13.5" customHeight="1">
      <c r="A16" s="188" t="s">
        <v>24</v>
      </c>
      <c r="B16" s="143">
        <v>5.0</v>
      </c>
      <c r="C16" s="111">
        <v>200.0</v>
      </c>
      <c r="D16" s="44">
        <f t="shared" si="5"/>
        <v>300</v>
      </c>
      <c r="E16" s="43">
        <v>500.0</v>
      </c>
      <c r="F16" s="143">
        <f t="shared" si="2"/>
        <v>2500</v>
      </c>
      <c r="G16" s="111">
        <f t="shared" si="3"/>
        <v>1000</v>
      </c>
      <c r="H16" s="144">
        <f t="shared" si="4"/>
        <v>1500</v>
      </c>
    </row>
    <row r="17" ht="13.5" customHeight="1">
      <c r="A17" s="175" t="s">
        <v>78</v>
      </c>
      <c r="B17" s="147">
        <v>0.0</v>
      </c>
      <c r="C17" s="113">
        <v>170.0</v>
      </c>
      <c r="D17" s="114">
        <v>0.0</v>
      </c>
      <c r="E17" s="146">
        <f t="shared" ref="E17:E20" si="6">C17+D17</f>
        <v>170</v>
      </c>
      <c r="F17" s="147">
        <f t="shared" si="2"/>
        <v>0</v>
      </c>
      <c r="G17" s="113">
        <f t="shared" si="3"/>
        <v>0</v>
      </c>
      <c r="H17" s="148">
        <f t="shared" si="4"/>
        <v>0</v>
      </c>
    </row>
    <row r="18" ht="13.5" customHeight="1">
      <c r="A18" s="125" t="s">
        <v>79</v>
      </c>
      <c r="B18" s="83">
        <v>13.0</v>
      </c>
      <c r="C18" s="80">
        <v>240.0</v>
      </c>
      <c r="D18" s="81">
        <v>0.0</v>
      </c>
      <c r="E18" s="82">
        <f t="shared" si="6"/>
        <v>240</v>
      </c>
      <c r="F18" s="83">
        <f t="shared" si="2"/>
        <v>3120</v>
      </c>
      <c r="G18" s="80">
        <f t="shared" si="3"/>
        <v>3120</v>
      </c>
      <c r="H18" s="84">
        <f t="shared" si="4"/>
        <v>0</v>
      </c>
    </row>
    <row r="19" ht="13.5" customHeight="1">
      <c r="A19" s="125" t="s">
        <v>80</v>
      </c>
      <c r="B19" s="83">
        <v>5.0</v>
      </c>
      <c r="C19" s="80">
        <v>240.0</v>
      </c>
      <c r="D19" s="81">
        <v>0.0</v>
      </c>
      <c r="E19" s="82">
        <f t="shared" si="6"/>
        <v>240</v>
      </c>
      <c r="F19" s="83">
        <f t="shared" si="2"/>
        <v>1200</v>
      </c>
      <c r="G19" s="80">
        <f t="shared" si="3"/>
        <v>1200</v>
      </c>
      <c r="H19" s="84">
        <f t="shared" si="4"/>
        <v>0</v>
      </c>
    </row>
    <row r="20" ht="13.5" customHeight="1">
      <c r="A20" s="126" t="s">
        <v>81</v>
      </c>
      <c r="B20" s="90">
        <v>1.0</v>
      </c>
      <c r="C20" s="91">
        <v>170.0</v>
      </c>
      <c r="D20" s="116">
        <v>0.0</v>
      </c>
      <c r="E20" s="89">
        <f t="shared" si="6"/>
        <v>170</v>
      </c>
      <c r="F20" s="90">
        <f t="shared" si="2"/>
        <v>170</v>
      </c>
      <c r="G20" s="91">
        <f t="shared" si="3"/>
        <v>170</v>
      </c>
      <c r="H20" s="92">
        <f t="shared" si="4"/>
        <v>0</v>
      </c>
    </row>
    <row r="21" ht="13.5" customHeight="1">
      <c r="A21" s="170" t="s">
        <v>117</v>
      </c>
      <c r="B21" s="176">
        <v>9.0</v>
      </c>
      <c r="C21" s="94">
        <v>200.0</v>
      </c>
      <c r="D21" s="14">
        <f t="shared" ref="D21:D29" si="7">E21-C21</f>
        <v>100</v>
      </c>
      <c r="E21" s="140">
        <v>300.0</v>
      </c>
      <c r="F21" s="176">
        <f t="shared" si="2"/>
        <v>2700</v>
      </c>
      <c r="G21" s="94">
        <f t="shared" si="3"/>
        <v>1800</v>
      </c>
      <c r="H21" s="140">
        <f t="shared" si="4"/>
        <v>900</v>
      </c>
    </row>
    <row r="22" ht="13.5" customHeight="1">
      <c r="A22" s="117" t="s">
        <v>30</v>
      </c>
      <c r="B22" s="106">
        <v>13.0</v>
      </c>
      <c r="C22" s="100">
        <v>200.0</v>
      </c>
      <c r="D22" s="21">
        <f t="shared" si="7"/>
        <v>200</v>
      </c>
      <c r="E22" s="104">
        <v>400.0</v>
      </c>
      <c r="F22" s="106">
        <f t="shared" si="2"/>
        <v>5200</v>
      </c>
      <c r="G22" s="100">
        <f t="shared" si="3"/>
        <v>2600</v>
      </c>
      <c r="H22" s="104">
        <f t="shared" si="4"/>
        <v>2600</v>
      </c>
    </row>
    <row r="23" ht="13.5" customHeight="1">
      <c r="A23" s="117" t="s">
        <v>31</v>
      </c>
      <c r="B23" s="106">
        <v>8.0</v>
      </c>
      <c r="C23" s="100">
        <v>200.0</v>
      </c>
      <c r="D23" s="21">
        <f t="shared" si="7"/>
        <v>200</v>
      </c>
      <c r="E23" s="104">
        <v>400.0</v>
      </c>
      <c r="F23" s="106">
        <f t="shared" si="2"/>
        <v>3200</v>
      </c>
      <c r="G23" s="100">
        <f t="shared" si="3"/>
        <v>1600</v>
      </c>
      <c r="H23" s="104">
        <f t="shared" si="4"/>
        <v>1600</v>
      </c>
    </row>
    <row r="24" ht="13.5" customHeight="1">
      <c r="A24" s="117" t="s">
        <v>42</v>
      </c>
      <c r="B24" s="106">
        <v>6.0</v>
      </c>
      <c r="C24" s="100">
        <v>200.0</v>
      </c>
      <c r="D24" s="21">
        <f t="shared" si="7"/>
        <v>300</v>
      </c>
      <c r="E24" s="104">
        <v>500.0</v>
      </c>
      <c r="F24" s="106">
        <f t="shared" si="2"/>
        <v>3000</v>
      </c>
      <c r="G24" s="100">
        <f t="shared" si="3"/>
        <v>1200</v>
      </c>
      <c r="H24" s="104">
        <f t="shared" si="4"/>
        <v>1800</v>
      </c>
    </row>
    <row r="25" ht="13.5" customHeight="1">
      <c r="A25" s="117" t="s">
        <v>43</v>
      </c>
      <c r="B25" s="106">
        <v>10.0</v>
      </c>
      <c r="C25" s="100">
        <v>200.0</v>
      </c>
      <c r="D25" s="21">
        <f t="shared" si="7"/>
        <v>250</v>
      </c>
      <c r="E25" s="104">
        <v>450.0</v>
      </c>
      <c r="F25" s="106">
        <f t="shared" si="2"/>
        <v>4500</v>
      </c>
      <c r="G25" s="100">
        <f t="shared" si="3"/>
        <v>2000</v>
      </c>
      <c r="H25" s="104">
        <f t="shared" si="4"/>
        <v>2500</v>
      </c>
    </row>
    <row r="26" ht="13.5" customHeight="1">
      <c r="A26" s="117" t="s">
        <v>44</v>
      </c>
      <c r="B26" s="106">
        <v>6.0</v>
      </c>
      <c r="C26" s="100">
        <v>200.0</v>
      </c>
      <c r="D26" s="21">
        <f t="shared" si="7"/>
        <v>250</v>
      </c>
      <c r="E26" s="104">
        <v>450.0</v>
      </c>
      <c r="F26" s="106">
        <f t="shared" si="2"/>
        <v>2700</v>
      </c>
      <c r="G26" s="100">
        <f t="shared" si="3"/>
        <v>1200</v>
      </c>
      <c r="H26" s="104">
        <f t="shared" si="4"/>
        <v>1500</v>
      </c>
    </row>
    <row r="27" ht="13.5" customHeight="1">
      <c r="A27" s="117" t="s">
        <v>41</v>
      </c>
      <c r="B27" s="106">
        <v>6.0</v>
      </c>
      <c r="C27" s="100">
        <v>170.0</v>
      </c>
      <c r="D27" s="21">
        <f t="shared" si="7"/>
        <v>30</v>
      </c>
      <c r="E27" s="104">
        <v>200.0</v>
      </c>
      <c r="F27" s="106">
        <f t="shared" si="2"/>
        <v>1200</v>
      </c>
      <c r="G27" s="100">
        <f t="shared" si="3"/>
        <v>1020</v>
      </c>
      <c r="H27" s="104">
        <f t="shared" si="4"/>
        <v>180</v>
      </c>
    </row>
    <row r="28" ht="13.5" customHeight="1">
      <c r="A28" s="117" t="s">
        <v>40</v>
      </c>
      <c r="B28" s="106">
        <v>2.0</v>
      </c>
      <c r="C28" s="100">
        <v>170.0</v>
      </c>
      <c r="D28" s="21">
        <f t="shared" si="7"/>
        <v>30</v>
      </c>
      <c r="E28" s="104">
        <v>200.0</v>
      </c>
      <c r="F28" s="106">
        <f t="shared" si="2"/>
        <v>400</v>
      </c>
      <c r="G28" s="100">
        <f t="shared" si="3"/>
        <v>340</v>
      </c>
      <c r="H28" s="104">
        <f t="shared" si="4"/>
        <v>60</v>
      </c>
    </row>
    <row r="29" ht="13.5" customHeight="1">
      <c r="A29" s="189" t="s">
        <v>118</v>
      </c>
      <c r="B29" s="143">
        <v>7.0</v>
      </c>
      <c r="C29" s="111">
        <v>200.0</v>
      </c>
      <c r="D29" s="41">
        <f t="shared" si="7"/>
        <v>300</v>
      </c>
      <c r="E29" s="144">
        <v>500.0</v>
      </c>
      <c r="F29" s="105">
        <f t="shared" si="2"/>
        <v>3500</v>
      </c>
      <c r="G29" s="100">
        <f t="shared" si="3"/>
        <v>1400</v>
      </c>
      <c r="H29" s="104">
        <f t="shared" si="4"/>
        <v>2100</v>
      </c>
    </row>
    <row r="30" ht="13.5" customHeight="1">
      <c r="A30" s="124" t="s">
        <v>82</v>
      </c>
      <c r="B30" s="76">
        <v>0.0</v>
      </c>
      <c r="C30" s="73">
        <v>170.0</v>
      </c>
      <c r="D30" s="74">
        <v>0.0</v>
      </c>
      <c r="E30" s="75">
        <f t="shared" ref="E30:E33" si="8">C30+D30</f>
        <v>170</v>
      </c>
      <c r="F30" s="76">
        <f t="shared" si="2"/>
        <v>0</v>
      </c>
      <c r="G30" s="73">
        <f t="shared" si="3"/>
        <v>0</v>
      </c>
      <c r="H30" s="77">
        <f t="shared" si="4"/>
        <v>0</v>
      </c>
    </row>
    <row r="31" ht="13.5" customHeight="1">
      <c r="A31" s="125" t="s">
        <v>83</v>
      </c>
      <c r="B31" s="83">
        <v>12.0</v>
      </c>
      <c r="C31" s="80">
        <v>240.0</v>
      </c>
      <c r="D31" s="81">
        <v>0.0</v>
      </c>
      <c r="E31" s="82">
        <f t="shared" si="8"/>
        <v>240</v>
      </c>
      <c r="F31" s="83">
        <f t="shared" si="2"/>
        <v>2880</v>
      </c>
      <c r="G31" s="80">
        <f t="shared" si="3"/>
        <v>2880</v>
      </c>
      <c r="H31" s="84">
        <f t="shared" si="4"/>
        <v>0</v>
      </c>
    </row>
    <row r="32" ht="13.5" customHeight="1">
      <c r="A32" s="125" t="s">
        <v>84</v>
      </c>
      <c r="B32" s="83">
        <v>9.0</v>
      </c>
      <c r="C32" s="80">
        <v>240.0</v>
      </c>
      <c r="D32" s="81">
        <v>0.0</v>
      </c>
      <c r="E32" s="82">
        <f t="shared" si="8"/>
        <v>240</v>
      </c>
      <c r="F32" s="83">
        <f t="shared" si="2"/>
        <v>2160</v>
      </c>
      <c r="G32" s="80">
        <f t="shared" si="3"/>
        <v>2160</v>
      </c>
      <c r="H32" s="84">
        <f t="shared" si="4"/>
        <v>0</v>
      </c>
    </row>
    <row r="33" ht="13.5" customHeight="1">
      <c r="A33" s="126" t="s">
        <v>85</v>
      </c>
      <c r="B33" s="90">
        <v>2.0</v>
      </c>
      <c r="C33" s="91">
        <v>170.0</v>
      </c>
      <c r="D33" s="116">
        <v>0.0</v>
      </c>
      <c r="E33" s="89">
        <f t="shared" si="8"/>
        <v>170</v>
      </c>
      <c r="F33" s="90">
        <f t="shared" si="2"/>
        <v>340</v>
      </c>
      <c r="G33" s="91">
        <f t="shared" si="3"/>
        <v>340</v>
      </c>
      <c r="H33" s="92">
        <f t="shared" si="4"/>
        <v>0</v>
      </c>
    </row>
    <row r="34" ht="13.5" customHeight="1">
      <c r="A34" s="117" t="s">
        <v>16</v>
      </c>
      <c r="B34" s="106">
        <v>8.0</v>
      </c>
      <c r="C34" s="100">
        <v>200.0</v>
      </c>
      <c r="D34" s="24">
        <f t="shared" ref="D34:D43" si="9">E34-C34</f>
        <v>100</v>
      </c>
      <c r="E34" s="23">
        <v>300.0</v>
      </c>
      <c r="F34" s="96">
        <f t="shared" si="2"/>
        <v>2400</v>
      </c>
      <c r="G34" s="97">
        <f t="shared" si="3"/>
        <v>1600</v>
      </c>
      <c r="H34" s="98">
        <f t="shared" si="4"/>
        <v>800</v>
      </c>
    </row>
    <row r="35" ht="13.5" customHeight="1">
      <c r="A35" s="120" t="s">
        <v>18</v>
      </c>
      <c r="B35" s="106">
        <v>11.0</v>
      </c>
      <c r="C35" s="100">
        <v>200.0</v>
      </c>
      <c r="D35" s="24">
        <f t="shared" si="9"/>
        <v>200</v>
      </c>
      <c r="E35" s="23">
        <v>400.0</v>
      </c>
      <c r="F35" s="106">
        <f t="shared" si="2"/>
        <v>4400</v>
      </c>
      <c r="G35" s="100">
        <f t="shared" si="3"/>
        <v>2200</v>
      </c>
      <c r="H35" s="104">
        <f t="shared" si="4"/>
        <v>2200</v>
      </c>
    </row>
    <row r="36" ht="13.5" customHeight="1">
      <c r="A36" s="117" t="s">
        <v>17</v>
      </c>
      <c r="B36" s="106">
        <v>9.0</v>
      </c>
      <c r="C36" s="100">
        <v>150.0</v>
      </c>
      <c r="D36" s="24">
        <f t="shared" si="9"/>
        <v>150</v>
      </c>
      <c r="E36" s="23">
        <v>300.0</v>
      </c>
      <c r="F36" s="96">
        <f t="shared" si="2"/>
        <v>2700</v>
      </c>
      <c r="G36" s="97">
        <f t="shared" si="3"/>
        <v>1350</v>
      </c>
      <c r="H36" s="98">
        <f t="shared" si="4"/>
        <v>1350</v>
      </c>
    </row>
    <row r="37" ht="13.5" customHeight="1">
      <c r="A37" s="117" t="s">
        <v>19</v>
      </c>
      <c r="B37" s="106">
        <v>15.0</v>
      </c>
      <c r="C37" s="100">
        <v>170.0</v>
      </c>
      <c r="D37" s="24">
        <f t="shared" si="9"/>
        <v>30</v>
      </c>
      <c r="E37" s="23">
        <v>200.0</v>
      </c>
      <c r="F37" s="96">
        <f t="shared" si="2"/>
        <v>3000</v>
      </c>
      <c r="G37" s="97">
        <f t="shared" si="3"/>
        <v>2550</v>
      </c>
      <c r="H37" s="98">
        <f t="shared" si="4"/>
        <v>450</v>
      </c>
    </row>
    <row r="38" ht="13.5" customHeight="1">
      <c r="A38" s="118" t="s">
        <v>20</v>
      </c>
      <c r="B38" s="106">
        <v>4.0</v>
      </c>
      <c r="C38" s="100">
        <v>170.0</v>
      </c>
      <c r="D38" s="24">
        <f t="shared" si="9"/>
        <v>30</v>
      </c>
      <c r="E38" s="23">
        <v>200.0</v>
      </c>
      <c r="F38" s="96">
        <f t="shared" si="2"/>
        <v>800</v>
      </c>
      <c r="G38" s="97">
        <f t="shared" si="3"/>
        <v>680</v>
      </c>
      <c r="H38" s="98">
        <f t="shared" si="4"/>
        <v>120</v>
      </c>
    </row>
    <row r="39" ht="13.5" customHeight="1">
      <c r="A39" s="120" t="s">
        <v>21</v>
      </c>
      <c r="B39" s="106">
        <v>5.0</v>
      </c>
      <c r="C39" s="100">
        <v>200.0</v>
      </c>
      <c r="D39" s="24">
        <f t="shared" si="9"/>
        <v>200</v>
      </c>
      <c r="E39" s="23">
        <v>400.0</v>
      </c>
      <c r="F39" s="96">
        <f t="shared" si="2"/>
        <v>2000</v>
      </c>
      <c r="G39" s="97">
        <f t="shared" si="3"/>
        <v>1000</v>
      </c>
      <c r="H39" s="98">
        <f t="shared" si="4"/>
        <v>1000</v>
      </c>
    </row>
    <row r="40" ht="13.5" customHeight="1">
      <c r="A40" s="177" t="s">
        <v>22</v>
      </c>
      <c r="B40" s="105">
        <v>10.0</v>
      </c>
      <c r="C40" s="100">
        <v>200.0</v>
      </c>
      <c r="D40" s="24">
        <f t="shared" si="9"/>
        <v>600</v>
      </c>
      <c r="E40" s="95">
        <v>800.0</v>
      </c>
      <c r="F40" s="96">
        <f t="shared" si="2"/>
        <v>8000</v>
      </c>
      <c r="G40" s="97">
        <f t="shared" si="3"/>
        <v>2000</v>
      </c>
      <c r="H40" s="98">
        <f t="shared" si="4"/>
        <v>6000</v>
      </c>
    </row>
    <row r="41" ht="13.5" customHeight="1">
      <c r="A41" s="178" t="s">
        <v>23</v>
      </c>
      <c r="B41" s="105">
        <v>4.0</v>
      </c>
      <c r="C41" s="100">
        <v>200.0</v>
      </c>
      <c r="D41" s="24">
        <f t="shared" si="9"/>
        <v>300</v>
      </c>
      <c r="E41" s="95">
        <v>500.0</v>
      </c>
      <c r="F41" s="96">
        <f t="shared" si="2"/>
        <v>2000</v>
      </c>
      <c r="G41" s="97">
        <f t="shared" si="3"/>
        <v>800</v>
      </c>
      <c r="H41" s="98">
        <f t="shared" si="4"/>
        <v>1200</v>
      </c>
    </row>
    <row r="42" ht="13.5" customHeight="1">
      <c r="A42" s="190" t="s">
        <v>24</v>
      </c>
      <c r="B42" s="105">
        <v>8.0</v>
      </c>
      <c r="C42" s="100">
        <v>200.0</v>
      </c>
      <c r="D42" s="24">
        <f t="shared" si="9"/>
        <v>400</v>
      </c>
      <c r="E42" s="95">
        <v>600.0</v>
      </c>
      <c r="F42" s="96">
        <f t="shared" si="2"/>
        <v>4800</v>
      </c>
      <c r="G42" s="97">
        <f t="shared" si="3"/>
        <v>1600</v>
      </c>
      <c r="H42" s="98">
        <f t="shared" si="4"/>
        <v>3200</v>
      </c>
    </row>
    <row r="43" ht="13.5" customHeight="1">
      <c r="A43" s="177" t="s">
        <v>122</v>
      </c>
      <c r="B43" s="105">
        <v>16.0</v>
      </c>
      <c r="C43" s="100">
        <v>200.0</v>
      </c>
      <c r="D43" s="24">
        <f t="shared" si="9"/>
        <v>620</v>
      </c>
      <c r="E43" s="95">
        <v>820.0</v>
      </c>
      <c r="F43" s="96">
        <f t="shared" si="2"/>
        <v>13120</v>
      </c>
      <c r="G43" s="97">
        <f t="shared" si="3"/>
        <v>3200</v>
      </c>
      <c r="H43" s="98">
        <f t="shared" si="4"/>
        <v>9920</v>
      </c>
    </row>
    <row r="44" ht="13.5" customHeight="1">
      <c r="A44" s="124" t="s">
        <v>93</v>
      </c>
      <c r="B44" s="76">
        <v>0.0</v>
      </c>
      <c r="C44" s="73">
        <v>170.0</v>
      </c>
      <c r="D44" s="74">
        <v>0.0</v>
      </c>
      <c r="E44" s="75">
        <f t="shared" ref="E44:E47" si="10">C44+D44</f>
        <v>170</v>
      </c>
      <c r="F44" s="76">
        <f t="shared" si="2"/>
        <v>0</v>
      </c>
      <c r="G44" s="73">
        <f t="shared" si="3"/>
        <v>0</v>
      </c>
      <c r="H44" s="77">
        <f t="shared" si="4"/>
        <v>0</v>
      </c>
    </row>
    <row r="45" ht="13.5" customHeight="1">
      <c r="A45" s="125" t="s">
        <v>94</v>
      </c>
      <c r="B45" s="83">
        <v>10.0</v>
      </c>
      <c r="C45" s="80">
        <v>240.0</v>
      </c>
      <c r="D45" s="81">
        <v>0.0</v>
      </c>
      <c r="E45" s="82">
        <f t="shared" si="10"/>
        <v>240</v>
      </c>
      <c r="F45" s="83">
        <f t="shared" si="2"/>
        <v>2400</v>
      </c>
      <c r="G45" s="80">
        <f t="shared" si="3"/>
        <v>2400</v>
      </c>
      <c r="H45" s="84">
        <f t="shared" si="4"/>
        <v>0</v>
      </c>
    </row>
    <row r="46" ht="13.5" customHeight="1">
      <c r="A46" s="125" t="s">
        <v>95</v>
      </c>
      <c r="B46" s="83">
        <v>0.0</v>
      </c>
      <c r="C46" s="80">
        <v>240.0</v>
      </c>
      <c r="D46" s="81">
        <v>0.0</v>
      </c>
      <c r="E46" s="82">
        <f t="shared" si="10"/>
        <v>240</v>
      </c>
      <c r="F46" s="83">
        <f t="shared" si="2"/>
        <v>0</v>
      </c>
      <c r="G46" s="80">
        <f t="shared" si="3"/>
        <v>0</v>
      </c>
      <c r="H46" s="84">
        <f t="shared" si="4"/>
        <v>0</v>
      </c>
    </row>
    <row r="47" ht="13.5" customHeight="1">
      <c r="A47" s="151" t="s">
        <v>96</v>
      </c>
      <c r="B47" s="152">
        <v>0.0</v>
      </c>
      <c r="C47" s="87">
        <v>170.0</v>
      </c>
      <c r="D47" s="88">
        <v>0.0</v>
      </c>
      <c r="E47" s="153">
        <f t="shared" si="10"/>
        <v>170</v>
      </c>
      <c r="F47" s="152">
        <f t="shared" si="2"/>
        <v>0</v>
      </c>
      <c r="G47" s="87">
        <f t="shared" si="3"/>
        <v>0</v>
      </c>
      <c r="H47" s="154">
        <f t="shared" si="4"/>
        <v>0</v>
      </c>
    </row>
    <row r="48" ht="13.5" customHeight="1">
      <c r="A48" s="181" t="s">
        <v>117</v>
      </c>
      <c r="B48" s="139">
        <v>0.0</v>
      </c>
      <c r="C48" s="94">
        <v>200.0</v>
      </c>
      <c r="D48" s="17">
        <f t="shared" ref="D48:D57" si="11">E48-C48</f>
        <v>100</v>
      </c>
      <c r="E48" s="138">
        <v>300.0</v>
      </c>
      <c r="F48" s="139">
        <f t="shared" si="2"/>
        <v>0</v>
      </c>
      <c r="G48" s="94">
        <f t="shared" si="3"/>
        <v>0</v>
      </c>
      <c r="H48" s="140">
        <f t="shared" si="4"/>
        <v>0</v>
      </c>
    </row>
    <row r="49" ht="13.5" customHeight="1">
      <c r="A49" s="182" t="s">
        <v>30</v>
      </c>
      <c r="B49" s="96">
        <v>7.0</v>
      </c>
      <c r="C49" s="97">
        <v>200.0</v>
      </c>
      <c r="D49" s="24">
        <f t="shared" si="11"/>
        <v>200</v>
      </c>
      <c r="E49" s="183">
        <v>400.0</v>
      </c>
      <c r="F49" s="96">
        <f t="shared" si="2"/>
        <v>2800</v>
      </c>
      <c r="G49" s="97">
        <f t="shared" si="3"/>
        <v>1400</v>
      </c>
      <c r="H49" s="98">
        <f t="shared" si="4"/>
        <v>1400</v>
      </c>
    </row>
    <row r="50" ht="13.5" customHeight="1">
      <c r="A50" s="182" t="s">
        <v>31</v>
      </c>
      <c r="B50" s="96">
        <v>12.0</v>
      </c>
      <c r="C50" s="97">
        <v>200.0</v>
      </c>
      <c r="D50" s="24">
        <f t="shared" si="11"/>
        <v>200</v>
      </c>
      <c r="E50" s="183">
        <v>400.0</v>
      </c>
      <c r="F50" s="96">
        <f t="shared" si="2"/>
        <v>4800</v>
      </c>
      <c r="G50" s="97">
        <f t="shared" si="3"/>
        <v>2400</v>
      </c>
      <c r="H50" s="98">
        <f t="shared" si="4"/>
        <v>2400</v>
      </c>
    </row>
    <row r="51" ht="13.5" customHeight="1">
      <c r="A51" s="117" t="s">
        <v>40</v>
      </c>
      <c r="B51" s="96">
        <v>2.0</v>
      </c>
      <c r="C51" s="97">
        <v>170.0</v>
      </c>
      <c r="D51" s="24">
        <f t="shared" si="11"/>
        <v>30</v>
      </c>
      <c r="E51" s="183">
        <v>200.0</v>
      </c>
      <c r="F51" s="96">
        <f t="shared" si="2"/>
        <v>400</v>
      </c>
      <c r="G51" s="97">
        <f t="shared" si="3"/>
        <v>340</v>
      </c>
      <c r="H51" s="98">
        <f t="shared" si="4"/>
        <v>60</v>
      </c>
    </row>
    <row r="52" ht="13.5" customHeight="1">
      <c r="A52" s="117" t="s">
        <v>41</v>
      </c>
      <c r="B52" s="106">
        <v>6.0</v>
      </c>
      <c r="C52" s="100">
        <v>170.0</v>
      </c>
      <c r="D52" s="24">
        <f t="shared" si="11"/>
        <v>30</v>
      </c>
      <c r="E52" s="95">
        <v>200.0</v>
      </c>
      <c r="F52" s="96">
        <f t="shared" si="2"/>
        <v>1200</v>
      </c>
      <c r="G52" s="97">
        <f t="shared" si="3"/>
        <v>1020</v>
      </c>
      <c r="H52" s="98">
        <f t="shared" si="4"/>
        <v>180</v>
      </c>
    </row>
    <row r="53" ht="13.5" customHeight="1">
      <c r="A53" s="120" t="s">
        <v>42</v>
      </c>
      <c r="B53" s="106">
        <v>13.0</v>
      </c>
      <c r="C53" s="100">
        <v>200.0</v>
      </c>
      <c r="D53" s="24">
        <f t="shared" si="11"/>
        <v>500</v>
      </c>
      <c r="E53" s="95">
        <v>700.0</v>
      </c>
      <c r="F53" s="96">
        <f t="shared" si="2"/>
        <v>9100</v>
      </c>
      <c r="G53" s="97">
        <f t="shared" si="3"/>
        <v>2600</v>
      </c>
      <c r="H53" s="98">
        <f t="shared" si="4"/>
        <v>6500</v>
      </c>
    </row>
    <row r="54" ht="13.5" customHeight="1">
      <c r="A54" s="120" t="s">
        <v>43</v>
      </c>
      <c r="B54" s="106">
        <v>13.0</v>
      </c>
      <c r="C54" s="100">
        <v>200.0</v>
      </c>
      <c r="D54" s="24">
        <f t="shared" si="11"/>
        <v>300</v>
      </c>
      <c r="E54" s="95">
        <v>500.0</v>
      </c>
      <c r="F54" s="96">
        <f t="shared" si="2"/>
        <v>6500</v>
      </c>
      <c r="G54" s="97">
        <f t="shared" si="3"/>
        <v>2600</v>
      </c>
      <c r="H54" s="98">
        <f t="shared" si="4"/>
        <v>3900</v>
      </c>
    </row>
    <row r="55" ht="13.5" customHeight="1">
      <c r="A55" s="185" t="s">
        <v>44</v>
      </c>
      <c r="B55" s="106">
        <v>5.0</v>
      </c>
      <c r="C55" s="100">
        <v>200.0</v>
      </c>
      <c r="D55" s="24">
        <f t="shared" si="11"/>
        <v>400</v>
      </c>
      <c r="E55" s="95">
        <v>600.0</v>
      </c>
      <c r="F55" s="96">
        <f t="shared" si="2"/>
        <v>3000</v>
      </c>
      <c r="G55" s="97">
        <f t="shared" si="3"/>
        <v>1000</v>
      </c>
      <c r="H55" s="98">
        <f t="shared" si="4"/>
        <v>2000</v>
      </c>
    </row>
    <row r="56" ht="13.5" customHeight="1">
      <c r="A56" s="178" t="s">
        <v>126</v>
      </c>
      <c r="B56" s="105">
        <v>25.0</v>
      </c>
      <c r="C56" s="100">
        <v>200.0</v>
      </c>
      <c r="D56" s="24">
        <f t="shared" si="11"/>
        <v>520</v>
      </c>
      <c r="E56" s="95">
        <v>720.0</v>
      </c>
      <c r="F56" s="105">
        <f t="shared" si="2"/>
        <v>18000</v>
      </c>
      <c r="G56" s="100">
        <f t="shared" si="3"/>
        <v>5000</v>
      </c>
      <c r="H56" s="104">
        <f t="shared" si="4"/>
        <v>13000</v>
      </c>
    </row>
    <row r="57" ht="13.5" customHeight="1">
      <c r="A57" s="186" t="s">
        <v>127</v>
      </c>
      <c r="B57" s="180">
        <v>17.0</v>
      </c>
      <c r="C57" s="111">
        <v>200.0</v>
      </c>
      <c r="D57" s="44">
        <f t="shared" si="11"/>
        <v>600</v>
      </c>
      <c r="E57" s="142">
        <v>800.0</v>
      </c>
      <c r="F57" s="143">
        <f t="shared" si="2"/>
        <v>13600</v>
      </c>
      <c r="G57" s="111">
        <f t="shared" si="3"/>
        <v>3400</v>
      </c>
      <c r="H57" s="144">
        <f t="shared" si="4"/>
        <v>10200</v>
      </c>
    </row>
    <row r="58" ht="13.5" customHeight="1">
      <c r="A58" s="158" t="s">
        <v>87</v>
      </c>
      <c r="B58" s="159">
        <v>31.0</v>
      </c>
      <c r="C58" s="160">
        <v>50.0</v>
      </c>
      <c r="D58" s="161">
        <v>0.0</v>
      </c>
      <c r="E58" s="162">
        <f>C58+D58</f>
        <v>50</v>
      </c>
      <c r="F58" s="159">
        <f t="shared" si="2"/>
        <v>1550</v>
      </c>
      <c r="G58" s="160">
        <f t="shared" si="3"/>
        <v>1550</v>
      </c>
      <c r="H58" s="163">
        <f t="shared" si="4"/>
        <v>0</v>
      </c>
    </row>
    <row r="59" ht="13.5" customHeight="1">
      <c r="A59" s="187" t="s">
        <v>86</v>
      </c>
      <c r="B59" s="180">
        <v>8.0</v>
      </c>
      <c r="C59" s="111">
        <v>50.0</v>
      </c>
      <c r="D59" s="41">
        <f>E59-C59</f>
        <v>0</v>
      </c>
      <c r="E59" s="111">
        <v>50.0</v>
      </c>
      <c r="F59" s="111">
        <f t="shared" si="2"/>
        <v>400</v>
      </c>
      <c r="G59" s="111">
        <f t="shared" si="3"/>
        <v>400</v>
      </c>
      <c r="H59" s="144">
        <f t="shared" si="4"/>
        <v>0</v>
      </c>
    </row>
    <row r="60" ht="13.5" customHeight="1">
      <c r="A60" s="18"/>
      <c r="B60" s="135">
        <f>SUM(B4:B59)</f>
        <v>497</v>
      </c>
      <c r="C60" s="28"/>
      <c r="D60" s="28"/>
      <c r="E60" s="28"/>
      <c r="F60" s="136">
        <f t="shared" ref="F60:H60" si="12">SUM(F4:F59)</f>
        <v>185880</v>
      </c>
      <c r="G60" s="135">
        <f t="shared" si="12"/>
        <v>95120</v>
      </c>
      <c r="H60" s="137">
        <f t="shared" si="12"/>
        <v>90760</v>
      </c>
    </row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G1"/>
    <mergeCell ref="A2:D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rightToLeft="1" workbookViewId="0"/>
  </sheetViews>
  <sheetFormatPr customHeight="1" defaultColWidth="12.63" defaultRowHeight="15.0"/>
  <cols>
    <col customWidth="1" min="1" max="1" width="4.5"/>
    <col customWidth="1" min="2" max="2" width="27.63"/>
    <col customWidth="1" min="3" max="7" width="10.13"/>
    <col customWidth="1" min="8" max="8" width="8.63"/>
    <col customWidth="1" min="9" max="10" width="11.13"/>
    <col customWidth="1" min="11" max="11" width="13.75"/>
    <col customWidth="1" min="12" max="12" width="13.63"/>
    <col customWidth="1" min="13" max="13" width="11.13"/>
    <col customWidth="1" min="14" max="16" width="10.63"/>
    <col customWidth="1" min="17" max="17" width="8.13"/>
    <col customWidth="1" min="18" max="18" width="4.63"/>
    <col customWidth="1" min="19" max="19" width="8.63"/>
    <col customWidth="1" min="20" max="20" width="47.63"/>
    <col customWidth="1" min="21" max="26" width="8.63"/>
  </cols>
  <sheetData>
    <row r="1" ht="13.5" customHeight="1">
      <c r="B1" s="1" t="s">
        <v>0</v>
      </c>
    </row>
    <row r="2" ht="13.5" customHeight="1">
      <c r="B2" s="2" t="s">
        <v>133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4"/>
      <c r="T2" s="4"/>
    </row>
    <row r="3" ht="13.5" customHeight="1">
      <c r="B3" s="5" t="s">
        <v>2</v>
      </c>
      <c r="C3" s="6" t="s">
        <v>3</v>
      </c>
      <c r="D3" s="7" t="s">
        <v>4</v>
      </c>
      <c r="E3" s="7" t="s">
        <v>5</v>
      </c>
      <c r="F3" s="7" t="s">
        <v>134</v>
      </c>
      <c r="G3" s="7" t="s">
        <v>135</v>
      </c>
      <c r="H3" s="8" t="s">
        <v>7</v>
      </c>
      <c r="I3" s="7" t="s">
        <v>8</v>
      </c>
      <c r="J3" s="7" t="s">
        <v>9</v>
      </c>
      <c r="K3" s="9" t="s">
        <v>10</v>
      </c>
      <c r="L3" s="9" t="s">
        <v>136</v>
      </c>
      <c r="M3" s="7" t="s">
        <v>11</v>
      </c>
      <c r="N3" s="10" t="s">
        <v>137</v>
      </c>
      <c r="O3" s="10" t="s">
        <v>13</v>
      </c>
      <c r="P3" s="10" t="s">
        <v>14</v>
      </c>
      <c r="Q3" s="11" t="s">
        <v>15</v>
      </c>
    </row>
    <row r="4" ht="13.5" customHeight="1">
      <c r="B4" s="12" t="s">
        <v>16</v>
      </c>
      <c r="C4" s="13">
        <v>9.0</v>
      </c>
      <c r="D4" s="14">
        <v>50.0</v>
      </c>
      <c r="E4" s="14">
        <v>0.0</v>
      </c>
      <c r="F4" s="14">
        <v>0.0</v>
      </c>
      <c r="G4" s="14">
        <v>0.0</v>
      </c>
      <c r="H4" s="17">
        <f t="array" ref="H4">SUM(G4-D4:F4)</f>
        <v>-50</v>
      </c>
      <c r="I4" s="139">
        <f t="shared" ref="I4:I37" si="1">D4*C4</f>
        <v>450</v>
      </c>
      <c r="J4" s="14">
        <f t="shared" ref="J4:J37" si="2">C4*E4</f>
        <v>0</v>
      </c>
      <c r="K4" s="16">
        <f t="shared" ref="K4:K37" si="3">C4*H4</f>
        <v>-450</v>
      </c>
      <c r="L4" s="14">
        <f t="shared" ref="L4:L37" si="4">C4*F4</f>
        <v>0</v>
      </c>
      <c r="M4" s="14">
        <f t="shared" ref="M4:M37" si="5">G4*C4</f>
        <v>0</v>
      </c>
      <c r="N4" s="15">
        <v>0.0</v>
      </c>
      <c r="O4" s="15">
        <f t="shared" ref="O4:O37" si="6">N4+M4+L4</f>
        <v>0</v>
      </c>
      <c r="P4" s="15">
        <v>0.0</v>
      </c>
      <c r="Q4" s="17">
        <f t="shared" ref="Q4:Q37" si="7">O4-P4</f>
        <v>0</v>
      </c>
      <c r="R4" s="18"/>
    </row>
    <row r="5" ht="13.5" customHeight="1">
      <c r="B5" s="19" t="s">
        <v>18</v>
      </c>
      <c r="C5" s="20">
        <v>9.0</v>
      </c>
      <c r="D5" s="21">
        <v>50.0</v>
      </c>
      <c r="E5" s="21">
        <v>50.0</v>
      </c>
      <c r="F5" s="21">
        <v>100.0</v>
      </c>
      <c r="G5" s="21">
        <v>0.0</v>
      </c>
      <c r="H5" s="24">
        <f t="array" ref="H5">SUM(G5-D5:F5)</f>
        <v>-200</v>
      </c>
      <c r="I5" s="106">
        <f t="shared" si="1"/>
        <v>450</v>
      </c>
      <c r="J5" s="21">
        <f t="shared" si="2"/>
        <v>450</v>
      </c>
      <c r="K5" s="23">
        <f t="shared" si="3"/>
        <v>-1800</v>
      </c>
      <c r="L5" s="21">
        <f t="shared" si="4"/>
        <v>900</v>
      </c>
      <c r="M5" s="21">
        <f t="shared" si="5"/>
        <v>0</v>
      </c>
      <c r="N5" s="22">
        <v>0.0</v>
      </c>
      <c r="O5" s="22">
        <f t="shared" si="6"/>
        <v>900</v>
      </c>
      <c r="P5" s="22">
        <v>900.0</v>
      </c>
      <c r="Q5" s="24">
        <f t="shared" si="7"/>
        <v>0</v>
      </c>
      <c r="R5" s="18"/>
    </row>
    <row r="6" ht="13.5" customHeight="1">
      <c r="B6" s="25" t="s">
        <v>17</v>
      </c>
      <c r="C6" s="20">
        <v>10.0</v>
      </c>
      <c r="D6" s="21">
        <v>50.0</v>
      </c>
      <c r="E6" s="21">
        <v>50.0</v>
      </c>
      <c r="F6" s="21">
        <v>50.0</v>
      </c>
      <c r="G6" s="21">
        <v>0.0</v>
      </c>
      <c r="H6" s="24">
        <f t="array" ref="H6">SUM(G6-D6:F6)</f>
        <v>-150</v>
      </c>
      <c r="I6" s="106">
        <f t="shared" si="1"/>
        <v>500</v>
      </c>
      <c r="J6" s="21">
        <f t="shared" si="2"/>
        <v>500</v>
      </c>
      <c r="K6" s="23">
        <f t="shared" si="3"/>
        <v>-1500</v>
      </c>
      <c r="L6" s="21">
        <f t="shared" si="4"/>
        <v>500</v>
      </c>
      <c r="M6" s="21">
        <f t="shared" si="5"/>
        <v>0</v>
      </c>
      <c r="N6" s="22">
        <v>0.0</v>
      </c>
      <c r="O6" s="22">
        <f t="shared" si="6"/>
        <v>500</v>
      </c>
      <c r="P6" s="22">
        <v>500.0</v>
      </c>
      <c r="Q6" s="24">
        <f t="shared" si="7"/>
        <v>0</v>
      </c>
      <c r="R6" s="18"/>
    </row>
    <row r="7" ht="13.5" customHeight="1">
      <c r="B7" s="19" t="s">
        <v>19</v>
      </c>
      <c r="C7" s="20">
        <v>14.0</v>
      </c>
      <c r="D7" s="21">
        <v>30.0</v>
      </c>
      <c r="E7" s="21">
        <v>0.0</v>
      </c>
      <c r="F7" s="21">
        <v>0.0</v>
      </c>
      <c r="G7" s="21">
        <v>0.0</v>
      </c>
      <c r="H7" s="24">
        <f t="array" ref="H7">SUM(G7-D7:F7)</f>
        <v>-30</v>
      </c>
      <c r="I7" s="106">
        <f t="shared" si="1"/>
        <v>420</v>
      </c>
      <c r="J7" s="21">
        <f t="shared" si="2"/>
        <v>0</v>
      </c>
      <c r="K7" s="23">
        <f t="shared" si="3"/>
        <v>-420</v>
      </c>
      <c r="L7" s="21">
        <f t="shared" si="4"/>
        <v>0</v>
      </c>
      <c r="M7" s="21">
        <f t="shared" si="5"/>
        <v>0</v>
      </c>
      <c r="N7" s="22">
        <v>0.0</v>
      </c>
      <c r="O7" s="22">
        <f t="shared" si="6"/>
        <v>0</v>
      </c>
      <c r="P7" s="22">
        <v>0.0</v>
      </c>
      <c r="Q7" s="24">
        <f t="shared" si="7"/>
        <v>0</v>
      </c>
      <c r="R7" s="18"/>
    </row>
    <row r="8" ht="13.5" customHeight="1">
      <c r="B8" s="26" t="s">
        <v>20</v>
      </c>
      <c r="C8" s="20">
        <v>5.0</v>
      </c>
      <c r="D8" s="21">
        <v>30.0</v>
      </c>
      <c r="E8" s="21">
        <v>0.0</v>
      </c>
      <c r="F8" s="21">
        <v>0.0</v>
      </c>
      <c r="G8" s="21">
        <v>0.0</v>
      </c>
      <c r="H8" s="24">
        <f t="array" ref="H8">SUM(G8-D8:F8)</f>
        <v>-30</v>
      </c>
      <c r="I8" s="106">
        <f t="shared" si="1"/>
        <v>150</v>
      </c>
      <c r="J8" s="21">
        <f t="shared" si="2"/>
        <v>0</v>
      </c>
      <c r="K8" s="23">
        <f t="shared" si="3"/>
        <v>-150</v>
      </c>
      <c r="L8" s="21">
        <f t="shared" si="4"/>
        <v>0</v>
      </c>
      <c r="M8" s="21">
        <f t="shared" si="5"/>
        <v>0</v>
      </c>
      <c r="N8" s="22">
        <v>0.0</v>
      </c>
      <c r="O8" s="22">
        <f t="shared" si="6"/>
        <v>0</v>
      </c>
      <c r="P8" s="22">
        <v>0.0</v>
      </c>
      <c r="Q8" s="24">
        <f t="shared" si="7"/>
        <v>0</v>
      </c>
      <c r="R8" s="18"/>
    </row>
    <row r="9" ht="13.5" customHeight="1">
      <c r="B9" s="19" t="s">
        <v>21</v>
      </c>
      <c r="C9" s="20">
        <v>6.0</v>
      </c>
      <c r="D9" s="21">
        <v>50.0</v>
      </c>
      <c r="E9" s="21">
        <v>50.0</v>
      </c>
      <c r="F9" s="21">
        <v>100.0</v>
      </c>
      <c r="G9" s="21">
        <v>0.0</v>
      </c>
      <c r="H9" s="24">
        <f t="array" ref="H9">SUM(G9-D9:F9)</f>
        <v>-200</v>
      </c>
      <c r="I9" s="106">
        <f t="shared" si="1"/>
        <v>300</v>
      </c>
      <c r="J9" s="21">
        <f t="shared" si="2"/>
        <v>300</v>
      </c>
      <c r="K9" s="23">
        <f t="shared" si="3"/>
        <v>-1200</v>
      </c>
      <c r="L9" s="21">
        <f t="shared" si="4"/>
        <v>600</v>
      </c>
      <c r="M9" s="21">
        <f t="shared" si="5"/>
        <v>0</v>
      </c>
      <c r="N9" s="22">
        <v>0.0</v>
      </c>
      <c r="O9" s="22">
        <f t="shared" si="6"/>
        <v>600</v>
      </c>
      <c r="P9" s="22">
        <v>600.0</v>
      </c>
      <c r="Q9" s="24">
        <f t="shared" si="7"/>
        <v>0</v>
      </c>
    </row>
    <row r="10" ht="13.5" customHeight="1">
      <c r="B10" s="19" t="s">
        <v>22</v>
      </c>
      <c r="C10" s="27">
        <v>7.0</v>
      </c>
      <c r="D10" s="21">
        <v>50.0</v>
      </c>
      <c r="E10" s="21">
        <v>50.0</v>
      </c>
      <c r="F10" s="21">
        <v>0.0</v>
      </c>
      <c r="G10" s="21">
        <v>0.0</v>
      </c>
      <c r="H10" s="24">
        <f t="array" ref="H10">SUM(G10-D10:F10)</f>
        <v>-100</v>
      </c>
      <c r="I10" s="106">
        <f t="shared" si="1"/>
        <v>350</v>
      </c>
      <c r="J10" s="21">
        <f t="shared" si="2"/>
        <v>350</v>
      </c>
      <c r="K10" s="23">
        <f t="shared" si="3"/>
        <v>-700</v>
      </c>
      <c r="L10" s="21">
        <f t="shared" si="4"/>
        <v>0</v>
      </c>
      <c r="M10" s="21">
        <f t="shared" si="5"/>
        <v>0</v>
      </c>
      <c r="N10" s="22">
        <v>2400.0</v>
      </c>
      <c r="O10" s="22">
        <f t="shared" si="6"/>
        <v>2400</v>
      </c>
      <c r="P10" s="22">
        <v>3331.0</v>
      </c>
      <c r="Q10" s="24">
        <f t="shared" si="7"/>
        <v>-931</v>
      </c>
      <c r="S10" s="28"/>
    </row>
    <row r="11" ht="13.5" customHeight="1">
      <c r="B11" s="19" t="s">
        <v>23</v>
      </c>
      <c r="C11" s="20">
        <v>7.0</v>
      </c>
      <c r="D11" s="21">
        <v>50.0</v>
      </c>
      <c r="E11" s="21">
        <v>50.0</v>
      </c>
      <c r="F11" s="21">
        <v>0.0</v>
      </c>
      <c r="G11" s="21">
        <v>0.0</v>
      </c>
      <c r="H11" s="24">
        <f t="array" ref="H11">SUM(G11-D11:F11)</f>
        <v>-100</v>
      </c>
      <c r="I11" s="106">
        <f t="shared" si="1"/>
        <v>350</v>
      </c>
      <c r="J11" s="21">
        <f t="shared" si="2"/>
        <v>350</v>
      </c>
      <c r="K11" s="23">
        <f t="shared" si="3"/>
        <v>-700</v>
      </c>
      <c r="L11" s="21">
        <f t="shared" si="4"/>
        <v>0</v>
      </c>
      <c r="M11" s="21">
        <f t="shared" si="5"/>
        <v>0</v>
      </c>
      <c r="N11" s="22">
        <v>1200.0</v>
      </c>
      <c r="O11" s="22">
        <f t="shared" si="6"/>
        <v>1200</v>
      </c>
      <c r="P11" s="22">
        <v>1758.0</v>
      </c>
      <c r="Q11" s="24">
        <f t="shared" si="7"/>
        <v>-558</v>
      </c>
      <c r="S11" s="28"/>
    </row>
    <row r="12" ht="13.5" customHeight="1">
      <c r="B12" s="29" t="s">
        <v>24</v>
      </c>
      <c r="C12" s="20">
        <v>10.0</v>
      </c>
      <c r="D12" s="21">
        <v>50.0</v>
      </c>
      <c r="E12" s="21">
        <v>50.0</v>
      </c>
      <c r="F12" s="21">
        <v>0.0</v>
      </c>
      <c r="G12" s="21">
        <v>0.0</v>
      </c>
      <c r="H12" s="24">
        <f t="array" ref="H12">SUM(G12-D12:F12)</f>
        <v>-100</v>
      </c>
      <c r="I12" s="106">
        <f t="shared" si="1"/>
        <v>500</v>
      </c>
      <c r="J12" s="21">
        <f t="shared" si="2"/>
        <v>500</v>
      </c>
      <c r="K12" s="23">
        <f t="shared" si="3"/>
        <v>-1000</v>
      </c>
      <c r="L12" s="21">
        <f t="shared" si="4"/>
        <v>0</v>
      </c>
      <c r="M12" s="21">
        <f t="shared" si="5"/>
        <v>0</v>
      </c>
      <c r="N12" s="22">
        <v>2000.0</v>
      </c>
      <c r="O12" s="22">
        <f t="shared" si="6"/>
        <v>2000</v>
      </c>
      <c r="P12" s="22">
        <v>3330.0</v>
      </c>
      <c r="Q12" s="24">
        <f t="shared" si="7"/>
        <v>-1330</v>
      </c>
    </row>
    <row r="13" ht="13.5" customHeight="1">
      <c r="B13" s="19" t="s">
        <v>16</v>
      </c>
      <c r="C13" s="20">
        <v>5.0</v>
      </c>
      <c r="D13" s="21">
        <v>50.0</v>
      </c>
      <c r="E13" s="21">
        <v>0.0</v>
      </c>
      <c r="F13" s="21">
        <v>0.0</v>
      </c>
      <c r="G13" s="21">
        <v>0.0</v>
      </c>
      <c r="H13" s="24">
        <f t="array" ref="H13">SUM(G13-D13:F13)</f>
        <v>-50</v>
      </c>
      <c r="I13" s="106">
        <f t="shared" si="1"/>
        <v>250</v>
      </c>
      <c r="J13" s="21">
        <f t="shared" si="2"/>
        <v>0</v>
      </c>
      <c r="K13" s="23">
        <f t="shared" si="3"/>
        <v>-250</v>
      </c>
      <c r="L13" s="21">
        <f t="shared" si="4"/>
        <v>0</v>
      </c>
      <c r="M13" s="21">
        <f t="shared" si="5"/>
        <v>0</v>
      </c>
      <c r="N13" s="22">
        <v>0.0</v>
      </c>
      <c r="O13" s="22">
        <f t="shared" si="6"/>
        <v>0</v>
      </c>
      <c r="P13" s="22">
        <v>0.0</v>
      </c>
      <c r="Q13" s="24">
        <f t="shared" si="7"/>
        <v>0</v>
      </c>
    </row>
    <row r="14" ht="13.5" customHeight="1">
      <c r="B14" s="19" t="s">
        <v>30</v>
      </c>
      <c r="C14" s="20">
        <v>6.0</v>
      </c>
      <c r="D14" s="21">
        <v>50.0</v>
      </c>
      <c r="E14" s="21">
        <v>50.0</v>
      </c>
      <c r="F14" s="21">
        <v>100.0</v>
      </c>
      <c r="G14" s="21">
        <v>0.0</v>
      </c>
      <c r="H14" s="24">
        <f t="array" ref="H14">SUM(G14-D14:F14)</f>
        <v>-200</v>
      </c>
      <c r="I14" s="106">
        <f t="shared" si="1"/>
        <v>300</v>
      </c>
      <c r="J14" s="21">
        <f t="shared" si="2"/>
        <v>300</v>
      </c>
      <c r="K14" s="23">
        <f t="shared" si="3"/>
        <v>-1200</v>
      </c>
      <c r="L14" s="21">
        <f t="shared" si="4"/>
        <v>600</v>
      </c>
      <c r="M14" s="21">
        <f t="shared" si="5"/>
        <v>0</v>
      </c>
      <c r="N14" s="22">
        <v>0.0</v>
      </c>
      <c r="O14" s="22">
        <f t="shared" si="6"/>
        <v>600</v>
      </c>
      <c r="P14" s="22">
        <v>600.0</v>
      </c>
      <c r="Q14" s="24">
        <f t="shared" si="7"/>
        <v>0</v>
      </c>
    </row>
    <row r="15" ht="13.5" customHeight="1">
      <c r="B15" s="30" t="s">
        <v>31</v>
      </c>
      <c r="C15" s="20">
        <v>14.0</v>
      </c>
      <c r="D15" s="21">
        <v>50.0</v>
      </c>
      <c r="E15" s="21">
        <v>50.0</v>
      </c>
      <c r="F15" s="21">
        <v>100.0</v>
      </c>
      <c r="G15" s="21">
        <v>0.0</v>
      </c>
      <c r="H15" s="24">
        <f t="array" ref="H15">SUM(G15-D15:F15)</f>
        <v>-200</v>
      </c>
      <c r="I15" s="191">
        <f t="shared" si="1"/>
        <v>700</v>
      </c>
      <c r="J15" s="32">
        <f t="shared" si="2"/>
        <v>700</v>
      </c>
      <c r="K15" s="34">
        <f t="shared" si="3"/>
        <v>-2800</v>
      </c>
      <c r="L15" s="21">
        <f t="shared" si="4"/>
        <v>1400</v>
      </c>
      <c r="M15" s="32">
        <f t="shared" si="5"/>
        <v>0</v>
      </c>
      <c r="N15" s="33">
        <v>0.0</v>
      </c>
      <c r="O15" s="22">
        <f t="shared" si="6"/>
        <v>1400</v>
      </c>
      <c r="P15" s="33">
        <v>1400.0</v>
      </c>
      <c r="Q15" s="35">
        <f t="shared" si="7"/>
        <v>0</v>
      </c>
    </row>
    <row r="16" ht="13.5" customHeight="1">
      <c r="B16" s="19" t="s">
        <v>25</v>
      </c>
      <c r="C16" s="20">
        <v>8.0</v>
      </c>
      <c r="D16" s="21">
        <v>50.0</v>
      </c>
      <c r="E16" s="21">
        <v>50.0</v>
      </c>
      <c r="F16" s="21">
        <v>0.0</v>
      </c>
      <c r="G16" s="21">
        <v>0.0</v>
      </c>
      <c r="H16" s="24">
        <f t="array" ref="H16">SUM(G16-D16:F16)</f>
        <v>-100</v>
      </c>
      <c r="I16" s="106">
        <f t="shared" si="1"/>
        <v>400</v>
      </c>
      <c r="J16" s="21">
        <f t="shared" si="2"/>
        <v>400</v>
      </c>
      <c r="K16" s="23">
        <f t="shared" si="3"/>
        <v>-800</v>
      </c>
      <c r="L16" s="21">
        <f t="shared" si="4"/>
        <v>0</v>
      </c>
      <c r="M16" s="21">
        <f t="shared" si="5"/>
        <v>0</v>
      </c>
      <c r="N16" s="22">
        <v>2000.0</v>
      </c>
      <c r="O16" s="22">
        <f t="shared" si="6"/>
        <v>2000</v>
      </c>
      <c r="P16" s="22">
        <v>3064.0</v>
      </c>
      <c r="Q16" s="24">
        <f t="shared" si="7"/>
        <v>-1064</v>
      </c>
    </row>
    <row r="17" ht="13.5" customHeight="1">
      <c r="B17" s="19" t="s">
        <v>26</v>
      </c>
      <c r="C17" s="20">
        <v>10.0</v>
      </c>
      <c r="D17" s="21">
        <v>50.0</v>
      </c>
      <c r="E17" s="21">
        <v>50.0</v>
      </c>
      <c r="F17" s="21">
        <v>0.0</v>
      </c>
      <c r="G17" s="21">
        <v>0.0</v>
      </c>
      <c r="H17" s="24">
        <f t="array" ref="H17">SUM(G17-D17:F17)</f>
        <v>-100</v>
      </c>
      <c r="I17" s="106">
        <f t="shared" si="1"/>
        <v>500</v>
      </c>
      <c r="J17" s="21">
        <f t="shared" si="2"/>
        <v>500</v>
      </c>
      <c r="K17" s="23">
        <f t="shared" si="3"/>
        <v>-1000</v>
      </c>
      <c r="L17" s="21">
        <f t="shared" si="4"/>
        <v>0</v>
      </c>
      <c r="M17" s="21">
        <f t="shared" si="5"/>
        <v>0</v>
      </c>
      <c r="N17" s="22">
        <v>1200.0</v>
      </c>
      <c r="O17" s="22">
        <f t="shared" si="6"/>
        <v>1200</v>
      </c>
      <c r="P17" s="22">
        <v>1998.0</v>
      </c>
      <c r="Q17" s="24">
        <f t="shared" si="7"/>
        <v>-798</v>
      </c>
    </row>
    <row r="18" ht="13.5" customHeight="1">
      <c r="B18" s="19" t="s">
        <v>27</v>
      </c>
      <c r="C18" s="20">
        <v>4.0</v>
      </c>
      <c r="D18" s="21">
        <v>50.0</v>
      </c>
      <c r="E18" s="21">
        <v>50.0</v>
      </c>
      <c r="F18" s="21">
        <v>0.0</v>
      </c>
      <c r="G18" s="21">
        <v>0.0</v>
      </c>
      <c r="H18" s="24">
        <f t="array" ref="H18">SUM(G18-D18:F18)</f>
        <v>-100</v>
      </c>
      <c r="I18" s="106">
        <f t="shared" si="1"/>
        <v>200</v>
      </c>
      <c r="J18" s="21">
        <f t="shared" si="2"/>
        <v>200</v>
      </c>
      <c r="K18" s="23">
        <f t="shared" si="3"/>
        <v>-400</v>
      </c>
      <c r="L18" s="21">
        <f t="shared" si="4"/>
        <v>0</v>
      </c>
      <c r="M18" s="21">
        <f t="shared" si="5"/>
        <v>0</v>
      </c>
      <c r="N18" s="22">
        <v>1600.0</v>
      </c>
      <c r="O18" s="22">
        <f t="shared" si="6"/>
        <v>1600</v>
      </c>
      <c r="P18" s="22">
        <v>2025.0</v>
      </c>
      <c r="Q18" s="24">
        <f t="shared" si="7"/>
        <v>-425</v>
      </c>
    </row>
    <row r="19" ht="13.5" customHeight="1">
      <c r="B19" s="19" t="s">
        <v>28</v>
      </c>
      <c r="C19" s="20">
        <v>7.0</v>
      </c>
      <c r="D19" s="21">
        <v>30.0</v>
      </c>
      <c r="E19" s="21">
        <v>0.0</v>
      </c>
      <c r="F19" s="21">
        <v>0.0</v>
      </c>
      <c r="G19" s="21">
        <v>0.0</v>
      </c>
      <c r="H19" s="24">
        <f t="array" ref="H19">SUM(G19-D19:F19)</f>
        <v>-30</v>
      </c>
      <c r="I19" s="106">
        <f t="shared" si="1"/>
        <v>210</v>
      </c>
      <c r="J19" s="21">
        <f t="shared" si="2"/>
        <v>0</v>
      </c>
      <c r="K19" s="23">
        <f t="shared" si="3"/>
        <v>-210</v>
      </c>
      <c r="L19" s="21">
        <f t="shared" si="4"/>
        <v>0</v>
      </c>
      <c r="M19" s="21">
        <f t="shared" si="5"/>
        <v>0</v>
      </c>
      <c r="N19" s="22">
        <v>0.0</v>
      </c>
      <c r="O19" s="22">
        <f t="shared" si="6"/>
        <v>0</v>
      </c>
      <c r="P19" s="22">
        <v>0.0</v>
      </c>
      <c r="Q19" s="24">
        <f t="shared" si="7"/>
        <v>0</v>
      </c>
    </row>
    <row r="20" ht="13.5" customHeight="1">
      <c r="B20" s="19" t="s">
        <v>29</v>
      </c>
      <c r="C20" s="40">
        <v>2.0</v>
      </c>
      <c r="D20" s="41">
        <v>30.0</v>
      </c>
      <c r="E20" s="41">
        <v>0.0</v>
      </c>
      <c r="F20" s="41">
        <v>0.0</v>
      </c>
      <c r="G20" s="41">
        <v>0.0</v>
      </c>
      <c r="H20" s="44">
        <f t="array" ref="H20">SUM(G20-D20:F20)</f>
        <v>-30</v>
      </c>
      <c r="I20" s="106">
        <f t="shared" si="1"/>
        <v>60</v>
      </c>
      <c r="J20" s="21">
        <f t="shared" si="2"/>
        <v>0</v>
      </c>
      <c r="K20" s="23">
        <f t="shared" si="3"/>
        <v>-60</v>
      </c>
      <c r="L20" s="21">
        <f t="shared" si="4"/>
        <v>0</v>
      </c>
      <c r="M20" s="21">
        <f t="shared" si="5"/>
        <v>0</v>
      </c>
      <c r="N20" s="22">
        <v>0.0</v>
      </c>
      <c r="O20" s="22">
        <f t="shared" si="6"/>
        <v>0</v>
      </c>
      <c r="P20" s="22">
        <v>0.0</v>
      </c>
      <c r="Q20" s="24">
        <f t="shared" si="7"/>
        <v>0</v>
      </c>
    </row>
    <row r="21" ht="13.5" customHeight="1">
      <c r="B21" s="36" t="s">
        <v>16</v>
      </c>
      <c r="C21" s="192">
        <v>12.0</v>
      </c>
      <c r="D21" s="193">
        <v>50.0</v>
      </c>
      <c r="E21" s="193">
        <v>0.0</v>
      </c>
      <c r="F21" s="193">
        <v>0.0</v>
      </c>
      <c r="G21" s="193">
        <v>0.0</v>
      </c>
      <c r="H21" s="194">
        <f t="array" ref="H21">SUM(G21-D21:F21)</f>
        <v>-50</v>
      </c>
      <c r="I21" s="139">
        <f t="shared" si="1"/>
        <v>600</v>
      </c>
      <c r="J21" s="14">
        <f t="shared" si="2"/>
        <v>0</v>
      </c>
      <c r="K21" s="16">
        <f t="shared" si="3"/>
        <v>-600</v>
      </c>
      <c r="L21" s="14">
        <f t="shared" si="4"/>
        <v>0</v>
      </c>
      <c r="M21" s="14">
        <f t="shared" si="5"/>
        <v>0</v>
      </c>
      <c r="N21" s="14">
        <v>0.0</v>
      </c>
      <c r="O21" s="15">
        <f t="shared" si="6"/>
        <v>0</v>
      </c>
      <c r="P21" s="15">
        <v>0.0</v>
      </c>
      <c r="Q21" s="17">
        <f t="shared" si="7"/>
        <v>0</v>
      </c>
    </row>
    <row r="22" ht="13.5" customHeight="1">
      <c r="B22" s="37" t="s">
        <v>18</v>
      </c>
      <c r="C22" s="20">
        <v>11.0</v>
      </c>
      <c r="D22" s="21">
        <v>50.0</v>
      </c>
      <c r="E22" s="21">
        <v>50.0</v>
      </c>
      <c r="F22" s="21">
        <v>100.0</v>
      </c>
      <c r="G22" s="21">
        <v>0.0</v>
      </c>
      <c r="H22" s="24">
        <f t="array" ref="H22">SUM(G22-D22:F22)</f>
        <v>-200</v>
      </c>
      <c r="I22" s="106">
        <f t="shared" si="1"/>
        <v>550</v>
      </c>
      <c r="J22" s="21">
        <f t="shared" si="2"/>
        <v>550</v>
      </c>
      <c r="K22" s="23">
        <f t="shared" si="3"/>
        <v>-2200</v>
      </c>
      <c r="L22" s="21">
        <f t="shared" si="4"/>
        <v>1100</v>
      </c>
      <c r="M22" s="21">
        <f t="shared" si="5"/>
        <v>0</v>
      </c>
      <c r="N22" s="21">
        <v>0.0</v>
      </c>
      <c r="O22" s="22">
        <f t="shared" si="6"/>
        <v>1100</v>
      </c>
      <c r="P22" s="22">
        <v>1100.0</v>
      </c>
      <c r="Q22" s="24">
        <f t="shared" si="7"/>
        <v>0</v>
      </c>
    </row>
    <row r="23" ht="13.5" customHeight="1">
      <c r="B23" s="37" t="s">
        <v>17</v>
      </c>
      <c r="C23" s="20">
        <v>9.0</v>
      </c>
      <c r="D23" s="21">
        <v>50.0</v>
      </c>
      <c r="E23" s="21">
        <v>50.0</v>
      </c>
      <c r="F23" s="21">
        <v>50.0</v>
      </c>
      <c r="G23" s="21">
        <v>0.0</v>
      </c>
      <c r="H23" s="24">
        <f t="array" ref="H23">SUM(G23-D23:F23)</f>
        <v>-150</v>
      </c>
      <c r="I23" s="106">
        <f t="shared" si="1"/>
        <v>450</v>
      </c>
      <c r="J23" s="21">
        <f t="shared" si="2"/>
        <v>450</v>
      </c>
      <c r="K23" s="23">
        <f t="shared" si="3"/>
        <v>-1350</v>
      </c>
      <c r="L23" s="21">
        <f t="shared" si="4"/>
        <v>450</v>
      </c>
      <c r="M23" s="21">
        <f t="shared" si="5"/>
        <v>0</v>
      </c>
      <c r="N23" s="21">
        <v>0.0</v>
      </c>
      <c r="O23" s="22">
        <f t="shared" si="6"/>
        <v>450</v>
      </c>
      <c r="P23" s="22">
        <v>450.0</v>
      </c>
      <c r="Q23" s="24">
        <f t="shared" si="7"/>
        <v>0</v>
      </c>
    </row>
    <row r="24" ht="13.5" customHeight="1">
      <c r="B24" s="37" t="s">
        <v>19</v>
      </c>
      <c r="C24" s="20">
        <v>16.0</v>
      </c>
      <c r="D24" s="21">
        <v>30.0</v>
      </c>
      <c r="E24" s="21">
        <v>0.0</v>
      </c>
      <c r="F24" s="21">
        <v>0.0</v>
      </c>
      <c r="G24" s="21">
        <v>0.0</v>
      </c>
      <c r="H24" s="24">
        <f t="array" ref="H24">SUM(G24-D24:F24)</f>
        <v>-30</v>
      </c>
      <c r="I24" s="106">
        <f t="shared" si="1"/>
        <v>480</v>
      </c>
      <c r="J24" s="21">
        <f t="shared" si="2"/>
        <v>0</v>
      </c>
      <c r="K24" s="23">
        <f t="shared" si="3"/>
        <v>-480</v>
      </c>
      <c r="L24" s="21">
        <f t="shared" si="4"/>
        <v>0</v>
      </c>
      <c r="M24" s="21">
        <f t="shared" si="5"/>
        <v>0</v>
      </c>
      <c r="N24" s="21">
        <v>0.0</v>
      </c>
      <c r="O24" s="22">
        <f t="shared" si="6"/>
        <v>0</v>
      </c>
      <c r="P24" s="22">
        <v>0.0</v>
      </c>
      <c r="Q24" s="24">
        <f t="shared" si="7"/>
        <v>0</v>
      </c>
    </row>
    <row r="25" ht="13.5" customHeight="1">
      <c r="B25" s="38" t="s">
        <v>20</v>
      </c>
      <c r="C25" s="20">
        <v>5.0</v>
      </c>
      <c r="D25" s="21">
        <v>30.0</v>
      </c>
      <c r="E25" s="21">
        <v>0.0</v>
      </c>
      <c r="F25" s="21">
        <v>0.0</v>
      </c>
      <c r="G25" s="21">
        <v>0.0</v>
      </c>
      <c r="H25" s="24">
        <f t="array" ref="H25">SUM(G25-D25:F25)</f>
        <v>-30</v>
      </c>
      <c r="I25" s="106">
        <f t="shared" si="1"/>
        <v>150</v>
      </c>
      <c r="J25" s="21">
        <f t="shared" si="2"/>
        <v>0</v>
      </c>
      <c r="K25" s="23">
        <f t="shared" si="3"/>
        <v>-150</v>
      </c>
      <c r="L25" s="21">
        <f t="shared" si="4"/>
        <v>0</v>
      </c>
      <c r="M25" s="21">
        <f t="shared" si="5"/>
        <v>0</v>
      </c>
      <c r="N25" s="21">
        <v>0.0</v>
      </c>
      <c r="O25" s="22">
        <f t="shared" si="6"/>
        <v>0</v>
      </c>
      <c r="P25" s="22">
        <v>0.0</v>
      </c>
      <c r="Q25" s="24">
        <f t="shared" si="7"/>
        <v>0</v>
      </c>
    </row>
    <row r="26" ht="13.5" customHeight="1">
      <c r="B26" s="37" t="s">
        <v>21</v>
      </c>
      <c r="C26" s="20">
        <v>9.0</v>
      </c>
      <c r="D26" s="21">
        <v>50.0</v>
      </c>
      <c r="E26" s="21">
        <v>50.0</v>
      </c>
      <c r="F26" s="21">
        <v>100.0</v>
      </c>
      <c r="G26" s="21">
        <v>0.0</v>
      </c>
      <c r="H26" s="24">
        <f t="array" ref="H26">SUM(G26-D26:F26)</f>
        <v>-200</v>
      </c>
      <c r="I26" s="106">
        <f t="shared" si="1"/>
        <v>450</v>
      </c>
      <c r="J26" s="21">
        <f t="shared" si="2"/>
        <v>450</v>
      </c>
      <c r="K26" s="23">
        <f t="shared" si="3"/>
        <v>-1800</v>
      </c>
      <c r="L26" s="21">
        <f t="shared" si="4"/>
        <v>900</v>
      </c>
      <c r="M26" s="21">
        <f t="shared" si="5"/>
        <v>0</v>
      </c>
      <c r="N26" s="22">
        <v>0.0</v>
      </c>
      <c r="O26" s="22">
        <f t="shared" si="6"/>
        <v>900</v>
      </c>
      <c r="P26" s="22">
        <v>900.0</v>
      </c>
      <c r="Q26" s="24">
        <f t="shared" si="7"/>
        <v>0</v>
      </c>
    </row>
    <row r="27" ht="13.5" customHeight="1">
      <c r="B27" s="37" t="s">
        <v>22</v>
      </c>
      <c r="C27" s="20">
        <v>8.0</v>
      </c>
      <c r="D27" s="21">
        <v>50.0</v>
      </c>
      <c r="E27" s="21">
        <v>50.0</v>
      </c>
      <c r="F27" s="21">
        <v>0.0</v>
      </c>
      <c r="G27" s="21">
        <v>0.0</v>
      </c>
      <c r="H27" s="24">
        <f t="array" ref="H27">SUM(G27-D27:F27)</f>
        <v>-100</v>
      </c>
      <c r="I27" s="106">
        <f t="shared" si="1"/>
        <v>400</v>
      </c>
      <c r="J27" s="21">
        <f t="shared" si="2"/>
        <v>400</v>
      </c>
      <c r="K27" s="23">
        <f t="shared" si="3"/>
        <v>-800</v>
      </c>
      <c r="L27" s="21">
        <f t="shared" si="4"/>
        <v>0</v>
      </c>
      <c r="M27" s="21">
        <f t="shared" si="5"/>
        <v>0</v>
      </c>
      <c r="N27" s="21">
        <v>12000.0</v>
      </c>
      <c r="O27" s="22">
        <f t="shared" si="6"/>
        <v>12000</v>
      </c>
      <c r="P27" s="22">
        <v>13582.68</v>
      </c>
      <c r="Q27" s="24">
        <f t="shared" si="7"/>
        <v>-1582.68</v>
      </c>
    </row>
    <row r="28" ht="13.5" customHeight="1">
      <c r="B28" s="37" t="s">
        <v>23</v>
      </c>
      <c r="C28" s="20">
        <v>7.0</v>
      </c>
      <c r="D28" s="21">
        <v>50.0</v>
      </c>
      <c r="E28" s="21">
        <v>50.0</v>
      </c>
      <c r="F28" s="21">
        <v>0.0</v>
      </c>
      <c r="G28" s="21">
        <v>0.0</v>
      </c>
      <c r="H28" s="24">
        <f t="array" ref="H28">SUM(G28-D28:F28)</f>
        <v>-100</v>
      </c>
      <c r="I28" s="106">
        <f t="shared" si="1"/>
        <v>350</v>
      </c>
      <c r="J28" s="21">
        <f t="shared" si="2"/>
        <v>350</v>
      </c>
      <c r="K28" s="23">
        <f t="shared" si="3"/>
        <v>-700</v>
      </c>
      <c r="L28" s="21">
        <f t="shared" si="4"/>
        <v>0</v>
      </c>
      <c r="M28" s="21">
        <f t="shared" si="5"/>
        <v>0</v>
      </c>
      <c r="N28" s="21">
        <v>2000.0</v>
      </c>
      <c r="O28" s="22">
        <f t="shared" si="6"/>
        <v>2000</v>
      </c>
      <c r="P28" s="22">
        <v>2931.0</v>
      </c>
      <c r="Q28" s="24">
        <f t="shared" si="7"/>
        <v>-931</v>
      </c>
    </row>
    <row r="29" ht="13.5" customHeight="1">
      <c r="B29" s="38" t="s">
        <v>24</v>
      </c>
      <c r="C29" s="27">
        <v>6.0</v>
      </c>
      <c r="D29" s="21">
        <v>50.0</v>
      </c>
      <c r="E29" s="21">
        <v>50.0</v>
      </c>
      <c r="F29" s="21">
        <v>0.0</v>
      </c>
      <c r="G29" s="21">
        <v>0.0</v>
      </c>
      <c r="H29" s="24">
        <f t="array" ref="H29">SUM(G29-D29:F29)</f>
        <v>-100</v>
      </c>
      <c r="I29" s="106">
        <f t="shared" si="1"/>
        <v>300</v>
      </c>
      <c r="J29" s="21">
        <f t="shared" si="2"/>
        <v>300</v>
      </c>
      <c r="K29" s="23">
        <f t="shared" si="3"/>
        <v>-600</v>
      </c>
      <c r="L29" s="21">
        <f t="shared" si="4"/>
        <v>0</v>
      </c>
      <c r="M29" s="21">
        <f t="shared" si="5"/>
        <v>0</v>
      </c>
      <c r="N29" s="21">
        <v>2000.0</v>
      </c>
      <c r="O29" s="22">
        <f t="shared" si="6"/>
        <v>2000</v>
      </c>
      <c r="P29" s="22">
        <v>2798.0</v>
      </c>
      <c r="Q29" s="24">
        <f t="shared" si="7"/>
        <v>-798</v>
      </c>
    </row>
    <row r="30" ht="13.5" customHeight="1">
      <c r="B30" s="37" t="s">
        <v>16</v>
      </c>
      <c r="C30" s="27">
        <v>4.0</v>
      </c>
      <c r="D30" s="21">
        <v>50.0</v>
      </c>
      <c r="E30" s="21">
        <v>50.0</v>
      </c>
      <c r="F30" s="21">
        <v>0.0</v>
      </c>
      <c r="G30" s="21">
        <v>0.0</v>
      </c>
      <c r="H30" s="24">
        <f t="array" ref="H30">SUM(G30-D30:F30)</f>
        <v>-100</v>
      </c>
      <c r="I30" s="106">
        <f t="shared" si="1"/>
        <v>200</v>
      </c>
      <c r="J30" s="21">
        <f t="shared" si="2"/>
        <v>200</v>
      </c>
      <c r="K30" s="23">
        <f t="shared" si="3"/>
        <v>-400</v>
      </c>
      <c r="L30" s="21">
        <f t="shared" si="4"/>
        <v>0</v>
      </c>
      <c r="M30" s="21">
        <f t="shared" si="5"/>
        <v>0</v>
      </c>
      <c r="N30" s="21">
        <v>0.0</v>
      </c>
      <c r="O30" s="22">
        <f t="shared" si="6"/>
        <v>0</v>
      </c>
      <c r="P30" s="22">
        <v>0.0</v>
      </c>
      <c r="Q30" s="24">
        <f t="shared" si="7"/>
        <v>0</v>
      </c>
    </row>
    <row r="31" ht="13.5" customHeight="1">
      <c r="B31" s="37" t="s">
        <v>30</v>
      </c>
      <c r="C31" s="20">
        <v>4.0</v>
      </c>
      <c r="D31" s="21">
        <v>50.0</v>
      </c>
      <c r="E31" s="21">
        <v>50.0</v>
      </c>
      <c r="F31" s="21">
        <v>100.0</v>
      </c>
      <c r="G31" s="21">
        <v>0.0</v>
      </c>
      <c r="H31" s="24">
        <f t="array" ref="H31">SUM(G31-D31:F31)</f>
        <v>-200</v>
      </c>
      <c r="I31" s="106">
        <f t="shared" si="1"/>
        <v>200</v>
      </c>
      <c r="J31" s="21">
        <f t="shared" si="2"/>
        <v>200</v>
      </c>
      <c r="K31" s="23">
        <f t="shared" si="3"/>
        <v>-800</v>
      </c>
      <c r="L31" s="21">
        <f t="shared" si="4"/>
        <v>400</v>
      </c>
      <c r="M31" s="21">
        <f t="shared" si="5"/>
        <v>0</v>
      </c>
      <c r="N31" s="21">
        <v>0.0</v>
      </c>
      <c r="O31" s="22">
        <f t="shared" si="6"/>
        <v>400</v>
      </c>
      <c r="P31" s="22">
        <v>400.0</v>
      </c>
      <c r="Q31" s="24">
        <f t="shared" si="7"/>
        <v>0</v>
      </c>
    </row>
    <row r="32" ht="13.5" customHeight="1">
      <c r="B32" s="37" t="s">
        <v>31</v>
      </c>
      <c r="C32" s="20">
        <v>10.0</v>
      </c>
      <c r="D32" s="21">
        <v>50.0</v>
      </c>
      <c r="E32" s="21">
        <v>50.0</v>
      </c>
      <c r="F32" s="21">
        <v>100.0</v>
      </c>
      <c r="G32" s="21">
        <v>0.0</v>
      </c>
      <c r="H32" s="24">
        <f t="array" ref="H32">SUM(G32-D32:F32)</f>
        <v>-200</v>
      </c>
      <c r="I32" s="106">
        <f t="shared" si="1"/>
        <v>500</v>
      </c>
      <c r="J32" s="21">
        <f t="shared" si="2"/>
        <v>500</v>
      </c>
      <c r="K32" s="23">
        <f t="shared" si="3"/>
        <v>-2000</v>
      </c>
      <c r="L32" s="21">
        <f t="shared" si="4"/>
        <v>1000</v>
      </c>
      <c r="M32" s="21">
        <f t="shared" si="5"/>
        <v>0</v>
      </c>
      <c r="N32" s="21">
        <v>0.0</v>
      </c>
      <c r="O32" s="22">
        <f t="shared" si="6"/>
        <v>1000</v>
      </c>
      <c r="P32" s="22">
        <v>1000.0</v>
      </c>
      <c r="Q32" s="24">
        <f t="shared" si="7"/>
        <v>0</v>
      </c>
    </row>
    <row r="33" ht="13.5" customHeight="1">
      <c r="B33" s="37" t="s">
        <v>29</v>
      </c>
      <c r="C33" s="20">
        <v>3.0</v>
      </c>
      <c r="D33" s="21">
        <v>30.0</v>
      </c>
      <c r="E33" s="21">
        <v>0.0</v>
      </c>
      <c r="F33" s="21">
        <v>0.0</v>
      </c>
      <c r="G33" s="21">
        <v>0.0</v>
      </c>
      <c r="H33" s="24">
        <f t="array" ref="H33">SUM(G33-D33:F33)</f>
        <v>-30</v>
      </c>
      <c r="I33" s="106">
        <f t="shared" si="1"/>
        <v>90</v>
      </c>
      <c r="J33" s="21">
        <f t="shared" si="2"/>
        <v>0</v>
      </c>
      <c r="K33" s="23">
        <f t="shared" si="3"/>
        <v>-90</v>
      </c>
      <c r="L33" s="21">
        <f t="shared" si="4"/>
        <v>0</v>
      </c>
      <c r="M33" s="21">
        <f t="shared" si="5"/>
        <v>0</v>
      </c>
      <c r="N33" s="21">
        <v>0.0</v>
      </c>
      <c r="O33" s="22">
        <f t="shared" si="6"/>
        <v>0</v>
      </c>
      <c r="P33" s="22">
        <v>0.0</v>
      </c>
      <c r="Q33" s="24">
        <f t="shared" si="7"/>
        <v>0</v>
      </c>
    </row>
    <row r="34" ht="13.5" customHeight="1">
      <c r="B34" s="37" t="s">
        <v>28</v>
      </c>
      <c r="C34" s="20">
        <v>7.0</v>
      </c>
      <c r="D34" s="21">
        <v>30.0</v>
      </c>
      <c r="E34" s="21">
        <v>0.0</v>
      </c>
      <c r="F34" s="21">
        <v>0.0</v>
      </c>
      <c r="G34" s="21">
        <v>0.0</v>
      </c>
      <c r="H34" s="24">
        <f t="array" ref="H34">SUM(G34-D34:F34)</f>
        <v>-30</v>
      </c>
      <c r="I34" s="106">
        <f t="shared" si="1"/>
        <v>210</v>
      </c>
      <c r="J34" s="21">
        <f t="shared" si="2"/>
        <v>0</v>
      </c>
      <c r="K34" s="23">
        <f t="shared" si="3"/>
        <v>-210</v>
      </c>
      <c r="L34" s="21">
        <f t="shared" si="4"/>
        <v>0</v>
      </c>
      <c r="M34" s="21">
        <f t="shared" si="5"/>
        <v>0</v>
      </c>
      <c r="N34" s="21">
        <v>0.0</v>
      </c>
      <c r="O34" s="22">
        <f t="shared" si="6"/>
        <v>0</v>
      </c>
      <c r="P34" s="22">
        <v>0.0</v>
      </c>
      <c r="Q34" s="24">
        <f t="shared" si="7"/>
        <v>0</v>
      </c>
    </row>
    <row r="35" ht="13.5" customHeight="1">
      <c r="B35" s="37" t="s">
        <v>25</v>
      </c>
      <c r="C35" s="20">
        <v>14.0</v>
      </c>
      <c r="D35" s="21">
        <v>50.0</v>
      </c>
      <c r="E35" s="21">
        <v>50.0</v>
      </c>
      <c r="F35" s="21">
        <v>0.0</v>
      </c>
      <c r="G35" s="21">
        <v>0.0</v>
      </c>
      <c r="H35" s="24">
        <f t="array" ref="H35">SUM(G35-D35:F35)</f>
        <v>-100</v>
      </c>
      <c r="I35" s="106">
        <f t="shared" si="1"/>
        <v>700</v>
      </c>
      <c r="J35" s="21">
        <f t="shared" si="2"/>
        <v>700</v>
      </c>
      <c r="K35" s="23">
        <f t="shared" si="3"/>
        <v>-1400</v>
      </c>
      <c r="L35" s="21">
        <f t="shared" si="4"/>
        <v>0</v>
      </c>
      <c r="M35" s="21">
        <f t="shared" si="5"/>
        <v>0</v>
      </c>
      <c r="N35" s="21">
        <v>8000.0</v>
      </c>
      <c r="O35" s="22">
        <f t="shared" si="6"/>
        <v>8000</v>
      </c>
      <c r="P35" s="22">
        <v>11724.0</v>
      </c>
      <c r="Q35" s="24">
        <f t="shared" si="7"/>
        <v>-3724</v>
      </c>
    </row>
    <row r="36" ht="13.5" customHeight="1">
      <c r="B36" s="37" t="s">
        <v>26</v>
      </c>
      <c r="C36" s="20">
        <v>17.0</v>
      </c>
      <c r="D36" s="21">
        <v>50.0</v>
      </c>
      <c r="E36" s="21">
        <v>50.0</v>
      </c>
      <c r="F36" s="21">
        <v>0.0</v>
      </c>
      <c r="G36" s="21">
        <v>0.0</v>
      </c>
      <c r="H36" s="24">
        <f t="array" ref="H36">SUM(G36-D36:F36)</f>
        <v>-100</v>
      </c>
      <c r="I36" s="106">
        <f t="shared" si="1"/>
        <v>850</v>
      </c>
      <c r="J36" s="21">
        <f t="shared" si="2"/>
        <v>850</v>
      </c>
      <c r="K36" s="23">
        <f t="shared" si="3"/>
        <v>-1700</v>
      </c>
      <c r="L36" s="21">
        <f t="shared" si="4"/>
        <v>0</v>
      </c>
      <c r="M36" s="21">
        <f t="shared" si="5"/>
        <v>0</v>
      </c>
      <c r="N36" s="21">
        <v>2000.0</v>
      </c>
      <c r="O36" s="22">
        <f t="shared" si="6"/>
        <v>2000</v>
      </c>
      <c r="P36" s="22">
        <v>4261.0</v>
      </c>
      <c r="Q36" s="24">
        <f t="shared" si="7"/>
        <v>-2261</v>
      </c>
    </row>
    <row r="37" ht="13.5" customHeight="1">
      <c r="B37" s="39" t="s">
        <v>27</v>
      </c>
      <c r="C37" s="40">
        <v>5.0</v>
      </c>
      <c r="D37" s="41">
        <v>50.0</v>
      </c>
      <c r="E37" s="41">
        <v>50.0</v>
      </c>
      <c r="F37" s="41">
        <v>0.0</v>
      </c>
      <c r="G37" s="41">
        <v>0.0</v>
      </c>
      <c r="H37" s="44">
        <f t="array" ref="H37">SUM(G37-D37:F37)</f>
        <v>-100</v>
      </c>
      <c r="I37" s="143">
        <f t="shared" si="1"/>
        <v>250</v>
      </c>
      <c r="J37" s="41">
        <f t="shared" si="2"/>
        <v>250</v>
      </c>
      <c r="K37" s="43">
        <f t="shared" si="3"/>
        <v>-500</v>
      </c>
      <c r="L37" s="41">
        <f t="shared" si="4"/>
        <v>0</v>
      </c>
      <c r="M37" s="41">
        <f t="shared" si="5"/>
        <v>0</v>
      </c>
      <c r="N37" s="41">
        <v>2000.0</v>
      </c>
      <c r="O37" s="42">
        <f t="shared" si="6"/>
        <v>2000</v>
      </c>
      <c r="P37" s="42">
        <v>2665.0</v>
      </c>
      <c r="Q37" s="44">
        <f t="shared" si="7"/>
        <v>-665</v>
      </c>
    </row>
    <row r="38" ht="13.5" customHeight="1">
      <c r="I38" s="45">
        <f t="shared" ref="I38:K38" si="8">SUM(I4:I37)</f>
        <v>12820</v>
      </c>
      <c r="J38" s="45">
        <f t="shared" si="8"/>
        <v>9750</v>
      </c>
      <c r="K38" s="46">
        <f t="shared" si="8"/>
        <v>-30420</v>
      </c>
      <c r="M38" s="45">
        <f t="shared" ref="M38:Q38" si="9">SUM(M4:M37)</f>
        <v>0</v>
      </c>
      <c r="N38" s="45">
        <f t="shared" si="9"/>
        <v>38400</v>
      </c>
      <c r="O38" s="45">
        <f t="shared" si="9"/>
        <v>46250</v>
      </c>
      <c r="P38" s="45">
        <f t="shared" si="9"/>
        <v>61317.68</v>
      </c>
      <c r="Q38" s="47">
        <f t="shared" si="9"/>
        <v>-15067.68</v>
      </c>
    </row>
    <row r="39" ht="13.5" customHeight="1"/>
    <row r="40" ht="13.5" customHeight="1">
      <c r="B40" s="195" t="s">
        <v>2</v>
      </c>
      <c r="C40" s="196" t="s">
        <v>3</v>
      </c>
      <c r="D40" s="197" t="s">
        <v>4</v>
      </c>
      <c r="E40" s="197" t="s">
        <v>5</v>
      </c>
      <c r="F40" s="197" t="s">
        <v>134</v>
      </c>
      <c r="G40" s="197" t="s">
        <v>135</v>
      </c>
      <c r="H40" s="198" t="s">
        <v>7</v>
      </c>
      <c r="I40" s="197" t="s">
        <v>8</v>
      </c>
      <c r="J40" s="197" t="s">
        <v>9</v>
      </c>
      <c r="K40" s="199" t="s">
        <v>10</v>
      </c>
      <c r="L40" s="199" t="s">
        <v>136</v>
      </c>
      <c r="M40" s="197" t="s">
        <v>11</v>
      </c>
      <c r="N40" s="200" t="s">
        <v>137</v>
      </c>
      <c r="O40" s="200" t="s">
        <v>13</v>
      </c>
      <c r="P40" s="200" t="s">
        <v>14</v>
      </c>
      <c r="Q40" s="201" t="s">
        <v>15</v>
      </c>
    </row>
    <row r="41" ht="13.5" customHeight="1">
      <c r="B41" s="202" t="s">
        <v>138</v>
      </c>
      <c r="C41" s="203">
        <v>23.0</v>
      </c>
      <c r="D41" s="97">
        <v>0.0</v>
      </c>
      <c r="E41" s="97">
        <v>0.0</v>
      </c>
      <c r="F41" s="97">
        <v>150.0</v>
      </c>
      <c r="G41" s="193">
        <v>0.0</v>
      </c>
      <c r="H41" s="194">
        <f t="array" ref="H41">SUM(G41-D41:F41)</f>
        <v>-150</v>
      </c>
      <c r="I41" s="192">
        <f t="shared" ref="I41:I42" si="10">D41*C41</f>
        <v>0</v>
      </c>
      <c r="J41" s="193">
        <f t="shared" ref="J41:J42" si="11">C41*E41</f>
        <v>0</v>
      </c>
      <c r="K41" s="204">
        <f t="shared" ref="K41:K42" si="12">C41*H41</f>
        <v>-3450</v>
      </c>
      <c r="L41" s="193">
        <f t="shared" ref="L41:L42" si="13">C41*F41</f>
        <v>3450</v>
      </c>
      <c r="M41" s="193">
        <f t="shared" ref="M41:M42" si="14">G41*C41</f>
        <v>0</v>
      </c>
      <c r="N41" s="97">
        <v>0.0</v>
      </c>
      <c r="O41" s="205">
        <f t="shared" ref="O41:O42" si="15">N41+M41+L41</f>
        <v>3450</v>
      </c>
      <c r="P41" s="97">
        <v>3450.0</v>
      </c>
      <c r="Q41" s="194">
        <f t="shared" ref="Q41:Q42" si="16">O41-P41</f>
        <v>0</v>
      </c>
    </row>
    <row r="42" ht="13.5" customHeight="1">
      <c r="B42" s="206" t="s">
        <v>139</v>
      </c>
      <c r="C42" s="110">
        <v>23.0</v>
      </c>
      <c r="D42" s="111">
        <v>0.0</v>
      </c>
      <c r="E42" s="111">
        <v>0.0</v>
      </c>
      <c r="F42" s="111">
        <v>150.0</v>
      </c>
      <c r="G42" s="41">
        <v>0.0</v>
      </c>
      <c r="H42" s="44">
        <f t="array" ref="H42">SUM(G42-D42:F42)</f>
        <v>-150</v>
      </c>
      <c r="I42" s="40">
        <f t="shared" si="10"/>
        <v>0</v>
      </c>
      <c r="J42" s="41">
        <f t="shared" si="11"/>
        <v>0</v>
      </c>
      <c r="K42" s="43">
        <f t="shared" si="12"/>
        <v>-3450</v>
      </c>
      <c r="L42" s="41">
        <f t="shared" si="13"/>
        <v>3450</v>
      </c>
      <c r="M42" s="41">
        <f t="shared" si="14"/>
        <v>0</v>
      </c>
      <c r="N42" s="111">
        <v>0.0</v>
      </c>
      <c r="O42" s="42">
        <f t="shared" si="15"/>
        <v>3450</v>
      </c>
      <c r="P42" s="111">
        <v>3450.0</v>
      </c>
      <c r="Q42" s="44">
        <f t="shared" si="16"/>
        <v>0</v>
      </c>
    </row>
    <row r="43" ht="13.5" customHeight="1">
      <c r="C43" s="45">
        <f>SUM(C41:C42)</f>
        <v>46</v>
      </c>
      <c r="K43" s="45">
        <f>SUM(K41:K42)</f>
        <v>-6900</v>
      </c>
      <c r="N43" s="45">
        <f t="shared" ref="N43:Q43" si="17">SUM(N41:N42)</f>
        <v>0</v>
      </c>
      <c r="O43" s="45">
        <f t="shared" si="17"/>
        <v>6900</v>
      </c>
      <c r="P43" s="45">
        <f t="shared" si="17"/>
        <v>6900</v>
      </c>
      <c r="Q43" s="47">
        <f t="shared" si="17"/>
        <v>0</v>
      </c>
    </row>
    <row r="44" ht="13.5" customHeight="1"/>
    <row r="45" ht="13.5" customHeight="1">
      <c r="B45" s="5" t="s">
        <v>2</v>
      </c>
      <c r="C45" s="6" t="s">
        <v>3</v>
      </c>
      <c r="D45" s="7" t="s">
        <v>4</v>
      </c>
      <c r="E45" s="7" t="s">
        <v>5</v>
      </c>
      <c r="F45" s="7" t="s">
        <v>134</v>
      </c>
      <c r="G45" s="7" t="s">
        <v>135</v>
      </c>
      <c r="H45" s="8" t="s">
        <v>7</v>
      </c>
      <c r="I45" s="7" t="s">
        <v>8</v>
      </c>
      <c r="J45" s="7" t="s">
        <v>9</v>
      </c>
      <c r="K45" s="9" t="s">
        <v>10</v>
      </c>
      <c r="L45" s="9" t="s">
        <v>136</v>
      </c>
      <c r="M45" s="7" t="s">
        <v>11</v>
      </c>
      <c r="N45" s="10" t="s">
        <v>137</v>
      </c>
      <c r="O45" s="10" t="s">
        <v>13</v>
      </c>
      <c r="P45" s="10" t="s">
        <v>14</v>
      </c>
      <c r="Q45" s="11" t="s">
        <v>15</v>
      </c>
    </row>
    <row r="46" ht="13.5" customHeight="1">
      <c r="B46" s="165" t="s">
        <v>140</v>
      </c>
      <c r="C46" s="166">
        <v>20.0</v>
      </c>
      <c r="D46" s="94">
        <v>0.0</v>
      </c>
      <c r="E46" s="94">
        <v>0.0</v>
      </c>
      <c r="F46" s="94">
        <v>0.0</v>
      </c>
      <c r="G46" s="14">
        <f t="shared" ref="G46:G53" si="18">H46-E46-D46</f>
        <v>1800</v>
      </c>
      <c r="H46" s="140">
        <v>1800.0</v>
      </c>
      <c r="I46" s="13">
        <f t="shared" ref="I46:I53" si="19">D46*C46</f>
        <v>0</v>
      </c>
      <c r="J46" s="14">
        <f t="shared" ref="J46:J53" si="20">C46*E46</f>
        <v>0</v>
      </c>
      <c r="K46" s="16">
        <f t="shared" ref="K46:K53" si="21">C46*H46</f>
        <v>36000</v>
      </c>
      <c r="L46" s="14">
        <f t="shared" ref="L46:L53" si="22">C46*F46</f>
        <v>0</v>
      </c>
      <c r="M46" s="14">
        <f t="shared" ref="M46:M53" si="23">G46*C46</f>
        <v>36000</v>
      </c>
      <c r="N46" s="94">
        <v>60000.0</v>
      </c>
      <c r="O46" s="15">
        <f t="shared" ref="O46:O53" si="24">N46+M46</f>
        <v>96000</v>
      </c>
      <c r="P46" s="94">
        <v>79670.69</v>
      </c>
      <c r="Q46" s="17">
        <f t="shared" ref="Q46:Q53" si="25">O46-P46</f>
        <v>16329.31</v>
      </c>
    </row>
    <row r="47" ht="13.5" customHeight="1">
      <c r="B47" s="167" t="s">
        <v>141</v>
      </c>
      <c r="C47" s="27">
        <v>10.0</v>
      </c>
      <c r="D47" s="100">
        <v>0.0</v>
      </c>
      <c r="E47" s="100">
        <v>0.0</v>
      </c>
      <c r="F47" s="100">
        <v>0.0</v>
      </c>
      <c r="G47" s="21">
        <f t="shared" si="18"/>
        <v>1200</v>
      </c>
      <c r="H47" s="104">
        <v>1200.0</v>
      </c>
      <c r="I47" s="20">
        <f t="shared" si="19"/>
        <v>0</v>
      </c>
      <c r="J47" s="21">
        <f t="shared" si="20"/>
        <v>0</v>
      </c>
      <c r="K47" s="23">
        <f t="shared" si="21"/>
        <v>12000</v>
      </c>
      <c r="L47" s="21">
        <f t="shared" si="22"/>
        <v>0</v>
      </c>
      <c r="M47" s="21">
        <f t="shared" si="23"/>
        <v>12000</v>
      </c>
      <c r="N47" s="100">
        <v>15000.0</v>
      </c>
      <c r="O47" s="22">
        <f t="shared" si="24"/>
        <v>27000</v>
      </c>
      <c r="P47" s="100">
        <v>20040.68</v>
      </c>
      <c r="Q47" s="24">
        <f t="shared" si="25"/>
        <v>6959.32</v>
      </c>
    </row>
    <row r="48" ht="13.5" customHeight="1">
      <c r="B48" s="167" t="s">
        <v>142</v>
      </c>
      <c r="C48" s="27">
        <v>7.0</v>
      </c>
      <c r="D48" s="100">
        <v>0.0</v>
      </c>
      <c r="E48" s="100">
        <v>0.0</v>
      </c>
      <c r="F48" s="100">
        <v>0.0</v>
      </c>
      <c r="G48" s="21">
        <f t="shared" si="18"/>
        <v>700</v>
      </c>
      <c r="H48" s="104">
        <v>700.0</v>
      </c>
      <c r="I48" s="20">
        <f t="shared" si="19"/>
        <v>0</v>
      </c>
      <c r="J48" s="21">
        <f t="shared" si="20"/>
        <v>0</v>
      </c>
      <c r="K48" s="23">
        <f t="shared" si="21"/>
        <v>4900</v>
      </c>
      <c r="L48" s="21">
        <f t="shared" si="22"/>
        <v>0</v>
      </c>
      <c r="M48" s="21">
        <f t="shared" si="23"/>
        <v>4900</v>
      </c>
      <c r="N48" s="100">
        <v>5000.0</v>
      </c>
      <c r="O48" s="22">
        <f t="shared" si="24"/>
        <v>9900</v>
      </c>
      <c r="P48" s="100">
        <v>7327.0</v>
      </c>
      <c r="Q48" s="24">
        <f t="shared" si="25"/>
        <v>2573</v>
      </c>
    </row>
    <row r="49" ht="13.5" customHeight="1">
      <c r="B49" s="167" t="s">
        <v>143</v>
      </c>
      <c r="C49" s="27">
        <v>0.0</v>
      </c>
      <c r="D49" s="100">
        <v>0.0</v>
      </c>
      <c r="E49" s="100">
        <v>0.0</v>
      </c>
      <c r="F49" s="100">
        <v>0.0</v>
      </c>
      <c r="G49" s="21">
        <f t="shared" si="18"/>
        <v>400</v>
      </c>
      <c r="H49" s="104">
        <v>400.0</v>
      </c>
      <c r="I49" s="20">
        <f t="shared" si="19"/>
        <v>0</v>
      </c>
      <c r="J49" s="21">
        <f t="shared" si="20"/>
        <v>0</v>
      </c>
      <c r="K49" s="23">
        <f t="shared" si="21"/>
        <v>0</v>
      </c>
      <c r="L49" s="21">
        <f t="shared" si="22"/>
        <v>0</v>
      </c>
      <c r="M49" s="21">
        <f t="shared" si="23"/>
        <v>0</v>
      </c>
      <c r="N49" s="100">
        <v>0.0</v>
      </c>
      <c r="O49" s="22">
        <f t="shared" si="24"/>
        <v>0</v>
      </c>
      <c r="P49" s="100">
        <v>0.0</v>
      </c>
      <c r="Q49" s="24">
        <f t="shared" si="25"/>
        <v>0</v>
      </c>
    </row>
    <row r="50" ht="13.5" customHeight="1">
      <c r="B50" s="167" t="s">
        <v>144</v>
      </c>
      <c r="C50" s="27">
        <v>13.0</v>
      </c>
      <c r="D50" s="100">
        <v>0.0</v>
      </c>
      <c r="E50" s="100">
        <v>0.0</v>
      </c>
      <c r="F50" s="100">
        <v>0.0</v>
      </c>
      <c r="G50" s="21">
        <f t="shared" si="18"/>
        <v>1400</v>
      </c>
      <c r="H50" s="104">
        <v>1400.0</v>
      </c>
      <c r="I50" s="20">
        <f t="shared" si="19"/>
        <v>0</v>
      </c>
      <c r="J50" s="21">
        <f t="shared" si="20"/>
        <v>0</v>
      </c>
      <c r="K50" s="23">
        <f t="shared" si="21"/>
        <v>18200</v>
      </c>
      <c r="L50" s="21">
        <f t="shared" si="22"/>
        <v>0</v>
      </c>
      <c r="M50" s="21">
        <f t="shared" si="23"/>
        <v>18200</v>
      </c>
      <c r="N50" s="100">
        <v>30000.0</v>
      </c>
      <c r="O50" s="22">
        <f t="shared" si="24"/>
        <v>48200</v>
      </c>
      <c r="P50" s="100">
        <v>38764.67</v>
      </c>
      <c r="Q50" s="24">
        <f t="shared" si="25"/>
        <v>9435.33</v>
      </c>
    </row>
    <row r="51" ht="13.5" customHeight="1">
      <c r="B51" s="167" t="s">
        <v>145</v>
      </c>
      <c r="C51" s="27">
        <v>10.0</v>
      </c>
      <c r="D51" s="100">
        <v>0.0</v>
      </c>
      <c r="E51" s="100">
        <v>0.0</v>
      </c>
      <c r="F51" s="100">
        <v>0.0</v>
      </c>
      <c r="G51" s="21">
        <f t="shared" si="18"/>
        <v>880</v>
      </c>
      <c r="H51" s="104">
        <v>880.0</v>
      </c>
      <c r="I51" s="20">
        <f t="shared" si="19"/>
        <v>0</v>
      </c>
      <c r="J51" s="21">
        <f t="shared" si="20"/>
        <v>0</v>
      </c>
      <c r="K51" s="23">
        <f t="shared" si="21"/>
        <v>8800</v>
      </c>
      <c r="L51" s="21">
        <f t="shared" si="22"/>
        <v>0</v>
      </c>
      <c r="M51" s="21">
        <f t="shared" si="23"/>
        <v>8800</v>
      </c>
      <c r="N51" s="100">
        <v>7500.0</v>
      </c>
      <c r="O51" s="22">
        <f t="shared" si="24"/>
        <v>16300</v>
      </c>
      <c r="P51" s="100">
        <v>12022.0</v>
      </c>
      <c r="Q51" s="24">
        <f t="shared" si="25"/>
        <v>4278</v>
      </c>
    </row>
    <row r="52" ht="13.5" customHeight="1">
      <c r="B52" s="167" t="s">
        <v>146</v>
      </c>
      <c r="C52" s="27">
        <v>8.0</v>
      </c>
      <c r="D52" s="100">
        <v>0.0</v>
      </c>
      <c r="E52" s="100">
        <v>0.0</v>
      </c>
      <c r="F52" s="100">
        <v>0.0</v>
      </c>
      <c r="G52" s="21">
        <f t="shared" si="18"/>
        <v>440</v>
      </c>
      <c r="H52" s="104">
        <v>440.0</v>
      </c>
      <c r="I52" s="20">
        <f t="shared" si="19"/>
        <v>0</v>
      </c>
      <c r="J52" s="21">
        <f t="shared" si="20"/>
        <v>0</v>
      </c>
      <c r="K52" s="23">
        <f t="shared" si="21"/>
        <v>3520</v>
      </c>
      <c r="L52" s="21">
        <f t="shared" si="22"/>
        <v>0</v>
      </c>
      <c r="M52" s="21">
        <f t="shared" si="23"/>
        <v>3520</v>
      </c>
      <c r="N52" s="100">
        <v>2500.0</v>
      </c>
      <c r="O52" s="22">
        <f t="shared" si="24"/>
        <v>6020</v>
      </c>
      <c r="P52" s="100">
        <v>3776.0</v>
      </c>
      <c r="Q52" s="24">
        <f t="shared" si="25"/>
        <v>2244</v>
      </c>
    </row>
    <row r="53" ht="13.5" customHeight="1">
      <c r="B53" s="168" t="s">
        <v>147</v>
      </c>
      <c r="C53" s="110">
        <v>3.0</v>
      </c>
      <c r="D53" s="111">
        <v>0.0</v>
      </c>
      <c r="E53" s="111">
        <v>0.0</v>
      </c>
      <c r="F53" s="111">
        <v>0.0</v>
      </c>
      <c r="G53" s="41">
        <f t="shared" si="18"/>
        <v>400</v>
      </c>
      <c r="H53" s="144">
        <v>400.0</v>
      </c>
      <c r="I53" s="40">
        <f t="shared" si="19"/>
        <v>0</v>
      </c>
      <c r="J53" s="41">
        <f t="shared" si="20"/>
        <v>0</v>
      </c>
      <c r="K53" s="43">
        <f t="shared" si="21"/>
        <v>1200</v>
      </c>
      <c r="L53" s="41">
        <f t="shared" si="22"/>
        <v>0</v>
      </c>
      <c r="M53" s="41">
        <f t="shared" si="23"/>
        <v>1200</v>
      </c>
      <c r="N53" s="111">
        <v>0.0</v>
      </c>
      <c r="O53" s="42">
        <f t="shared" si="24"/>
        <v>1200</v>
      </c>
      <c r="P53" s="111">
        <v>399.0</v>
      </c>
      <c r="Q53" s="44">
        <f t="shared" si="25"/>
        <v>801</v>
      </c>
    </row>
    <row r="54" ht="13.5" customHeight="1">
      <c r="C54" s="45">
        <f>SUM(C46:C53)</f>
        <v>71</v>
      </c>
      <c r="K54" s="45">
        <f>SUM(K46:K53)</f>
        <v>84620</v>
      </c>
      <c r="N54" s="45">
        <f t="shared" ref="N54:Q54" si="26">SUM(N46:N53)</f>
        <v>120000</v>
      </c>
      <c r="O54" s="45">
        <f t="shared" si="26"/>
        <v>204620</v>
      </c>
      <c r="P54" s="45">
        <f t="shared" si="26"/>
        <v>162000.04</v>
      </c>
      <c r="Q54" s="47">
        <f t="shared" si="26"/>
        <v>42619.96</v>
      </c>
    </row>
    <row r="55" ht="13.5" customHeight="1"/>
    <row r="56" ht="13.5" customHeight="1">
      <c r="B56" s="48" t="s">
        <v>45</v>
      </c>
      <c r="C56" s="28">
        <f>SUM(C4:C37)-C4-C13-C21-C30</f>
        <v>250</v>
      </c>
    </row>
    <row r="57" ht="13.5" customHeight="1">
      <c r="B57" s="49" t="s">
        <v>46</v>
      </c>
      <c r="C57" s="28">
        <f>75980+480</f>
        <v>76460</v>
      </c>
      <c r="R57" s="28"/>
    </row>
    <row r="58" ht="13.5" customHeight="1">
      <c r="B58" s="50" t="s">
        <v>110</v>
      </c>
      <c r="C58" s="51">
        <v>7280.0</v>
      </c>
      <c r="R58" s="28"/>
    </row>
    <row r="59" ht="13.5" customHeight="1">
      <c r="B59" s="52" t="s">
        <v>49</v>
      </c>
      <c r="C59" s="46">
        <f>C57+C58</f>
        <v>83740</v>
      </c>
      <c r="I59" s="207"/>
    </row>
    <row r="60" ht="13.5" customHeight="1">
      <c r="C60" s="28"/>
    </row>
    <row r="61" ht="13.5" customHeight="1">
      <c r="B61" s="52" t="s">
        <v>50</v>
      </c>
      <c r="C61" s="46">
        <f>J38</f>
        <v>9750</v>
      </c>
    </row>
    <row r="62" ht="13.5" customHeight="1">
      <c r="B62" s="52" t="s">
        <v>51</v>
      </c>
      <c r="C62" s="46">
        <f>I38</f>
        <v>12820</v>
      </c>
    </row>
    <row r="63" ht="13.5" customHeight="1">
      <c r="B63" s="52" t="s">
        <v>52</v>
      </c>
      <c r="C63" s="46">
        <f>M38</f>
        <v>0</v>
      </c>
    </row>
    <row r="64" ht="13.5" customHeight="1">
      <c r="C64" s="28"/>
      <c r="I64" s="28"/>
      <c r="J64" s="28"/>
      <c r="K64" s="28"/>
    </row>
    <row r="65" ht="13.5" customHeight="1">
      <c r="B65" s="53" t="s">
        <v>148</v>
      </c>
      <c r="C65" s="54">
        <f>SUM(N4:N20)</f>
        <v>10400</v>
      </c>
    </row>
    <row r="66" ht="13.5" customHeight="1">
      <c r="B66" s="55" t="s">
        <v>149</v>
      </c>
      <c r="C66" s="56">
        <f>SUM(N21:N37)</f>
        <v>28000</v>
      </c>
    </row>
    <row r="67" ht="13.5" customHeight="1">
      <c r="A67" s="57"/>
      <c r="B67" s="49" t="s">
        <v>55</v>
      </c>
      <c r="C67" s="58">
        <f>C66+C65+C63</f>
        <v>38400</v>
      </c>
    </row>
    <row r="68" ht="13.5" customHeight="1">
      <c r="A68" s="59"/>
    </row>
    <row r="69" ht="13.5" customHeight="1">
      <c r="A69" s="60"/>
      <c r="B69" s="61" t="s">
        <v>56</v>
      </c>
      <c r="C69" s="61">
        <f>C61*70%</f>
        <v>6825</v>
      </c>
    </row>
    <row r="70" ht="13.5" customHeight="1">
      <c r="A70" s="60"/>
      <c r="C70" s="62"/>
    </row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B1:Q1"/>
    <mergeCell ref="B2:Q2"/>
  </mergeCells>
  <printOptions/>
  <pageMargins bottom="1.21" footer="0.0" header="0.0" left="0.32" right="0.26" top="0.38"/>
  <pageSetup fitToHeight="0"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30.63"/>
    <col customWidth="1" min="2" max="26" width="8.63"/>
  </cols>
  <sheetData>
    <row r="1" ht="13.5" customHeight="1">
      <c r="A1" s="63" t="s">
        <v>133</v>
      </c>
    </row>
    <row r="2" ht="13.5" customHeight="1">
      <c r="A2" s="64" t="s">
        <v>150</v>
      </c>
      <c r="B2" s="65"/>
      <c r="C2" s="65"/>
      <c r="D2" s="66"/>
    </row>
    <row r="3" ht="13.5" customHeight="1">
      <c r="A3" s="67"/>
      <c r="B3" s="169" t="s">
        <v>3</v>
      </c>
      <c r="C3" s="69" t="s">
        <v>59</v>
      </c>
      <c r="D3" s="69" t="s">
        <v>7</v>
      </c>
      <c r="E3" s="69" t="s">
        <v>60</v>
      </c>
      <c r="F3" s="69" t="s">
        <v>61</v>
      </c>
      <c r="G3" s="69" t="s">
        <v>62</v>
      </c>
      <c r="H3" s="70" t="s">
        <v>63</v>
      </c>
    </row>
    <row r="4" ht="13.5" customHeight="1">
      <c r="A4" s="124" t="s">
        <v>101</v>
      </c>
      <c r="B4" s="76">
        <v>4.0</v>
      </c>
      <c r="C4" s="73">
        <v>170.0</v>
      </c>
      <c r="D4" s="74">
        <v>0.0</v>
      </c>
      <c r="E4" s="75">
        <f t="shared" ref="E4:E7" si="1">C4+D4</f>
        <v>170</v>
      </c>
      <c r="F4" s="76">
        <f t="shared" ref="F4:F69" si="2">E4*B4</f>
        <v>680</v>
      </c>
      <c r="G4" s="73">
        <f t="shared" ref="G4:G69" si="3">C4*B4</f>
        <v>680</v>
      </c>
      <c r="H4" s="77">
        <f t="shared" ref="H4:H69" si="4">D4*B4</f>
        <v>0</v>
      </c>
    </row>
    <row r="5" ht="13.5" customHeight="1">
      <c r="A5" s="125" t="s">
        <v>65</v>
      </c>
      <c r="B5" s="83">
        <v>34.0</v>
      </c>
      <c r="C5" s="80">
        <v>240.0</v>
      </c>
      <c r="D5" s="81">
        <v>0.0</v>
      </c>
      <c r="E5" s="82">
        <f t="shared" si="1"/>
        <v>240</v>
      </c>
      <c r="F5" s="83">
        <f t="shared" si="2"/>
        <v>8160</v>
      </c>
      <c r="G5" s="80">
        <f t="shared" si="3"/>
        <v>8160</v>
      </c>
      <c r="H5" s="84">
        <f t="shared" si="4"/>
        <v>0</v>
      </c>
    </row>
    <row r="6" ht="13.5" customHeight="1">
      <c r="A6" s="125" t="s">
        <v>67</v>
      </c>
      <c r="B6" s="83">
        <v>22.0</v>
      </c>
      <c r="C6" s="80">
        <v>240.0</v>
      </c>
      <c r="D6" s="81">
        <v>0.0</v>
      </c>
      <c r="E6" s="82">
        <f t="shared" si="1"/>
        <v>240</v>
      </c>
      <c r="F6" s="83">
        <f t="shared" si="2"/>
        <v>5280</v>
      </c>
      <c r="G6" s="80">
        <f t="shared" si="3"/>
        <v>5280</v>
      </c>
      <c r="H6" s="84">
        <f t="shared" si="4"/>
        <v>0</v>
      </c>
    </row>
    <row r="7" ht="13.5" customHeight="1">
      <c r="A7" s="151" t="s">
        <v>66</v>
      </c>
      <c r="B7" s="152">
        <v>1.0</v>
      </c>
      <c r="C7" s="87">
        <v>170.0</v>
      </c>
      <c r="D7" s="88">
        <v>0.0</v>
      </c>
      <c r="E7" s="153">
        <f t="shared" si="1"/>
        <v>170</v>
      </c>
      <c r="F7" s="152">
        <f t="shared" si="2"/>
        <v>170</v>
      </c>
      <c r="G7" s="87">
        <f t="shared" si="3"/>
        <v>170</v>
      </c>
      <c r="H7" s="154">
        <f t="shared" si="4"/>
        <v>0</v>
      </c>
    </row>
    <row r="8" ht="13.5" customHeight="1">
      <c r="A8" s="170" t="s">
        <v>16</v>
      </c>
      <c r="B8" s="139">
        <v>9.0</v>
      </c>
      <c r="C8" s="94">
        <v>300.0</v>
      </c>
      <c r="D8" s="17">
        <f t="shared" ref="D8:D12" si="5">E8-C8</f>
        <v>0</v>
      </c>
      <c r="E8" s="16">
        <v>300.0</v>
      </c>
      <c r="F8" s="139">
        <f t="shared" si="2"/>
        <v>2700</v>
      </c>
      <c r="G8" s="94">
        <f t="shared" si="3"/>
        <v>2700</v>
      </c>
      <c r="H8" s="140">
        <f t="shared" si="4"/>
        <v>0</v>
      </c>
    </row>
    <row r="9" ht="13.5" customHeight="1">
      <c r="A9" s="120" t="s">
        <v>18</v>
      </c>
      <c r="B9" s="106">
        <v>9.0</v>
      </c>
      <c r="C9" s="100">
        <v>400.0</v>
      </c>
      <c r="D9" s="24">
        <f t="shared" si="5"/>
        <v>0</v>
      </c>
      <c r="E9" s="23">
        <v>400.0</v>
      </c>
      <c r="F9" s="96">
        <f t="shared" si="2"/>
        <v>3600</v>
      </c>
      <c r="G9" s="97">
        <f t="shared" si="3"/>
        <v>3600</v>
      </c>
      <c r="H9" s="98">
        <f t="shared" si="4"/>
        <v>0</v>
      </c>
    </row>
    <row r="10" ht="13.5" customHeight="1">
      <c r="A10" s="120" t="s">
        <v>17</v>
      </c>
      <c r="B10" s="106">
        <v>10.0</v>
      </c>
      <c r="C10" s="100">
        <v>300.0</v>
      </c>
      <c r="D10" s="24">
        <f t="shared" si="5"/>
        <v>0</v>
      </c>
      <c r="E10" s="23">
        <v>300.0</v>
      </c>
      <c r="F10" s="96">
        <f t="shared" si="2"/>
        <v>3000</v>
      </c>
      <c r="G10" s="97">
        <f t="shared" si="3"/>
        <v>3000</v>
      </c>
      <c r="H10" s="98">
        <f t="shared" si="4"/>
        <v>0</v>
      </c>
    </row>
    <row r="11" ht="13.5" customHeight="1">
      <c r="A11" s="120" t="s">
        <v>19</v>
      </c>
      <c r="B11" s="106">
        <v>14.0</v>
      </c>
      <c r="C11" s="100">
        <v>200.0</v>
      </c>
      <c r="D11" s="24">
        <f t="shared" si="5"/>
        <v>0</v>
      </c>
      <c r="E11" s="23">
        <v>200.0</v>
      </c>
      <c r="F11" s="96">
        <f t="shared" si="2"/>
        <v>2800</v>
      </c>
      <c r="G11" s="97">
        <f t="shared" si="3"/>
        <v>2800</v>
      </c>
      <c r="H11" s="98">
        <f t="shared" si="4"/>
        <v>0</v>
      </c>
    </row>
    <row r="12" ht="13.5" customHeight="1">
      <c r="A12" s="120" t="s">
        <v>21</v>
      </c>
      <c r="B12" s="106">
        <v>6.0</v>
      </c>
      <c r="C12" s="100">
        <v>400.0</v>
      </c>
      <c r="D12" s="24">
        <f t="shared" si="5"/>
        <v>0</v>
      </c>
      <c r="E12" s="23">
        <v>400.0</v>
      </c>
      <c r="F12" s="96">
        <f t="shared" si="2"/>
        <v>2400</v>
      </c>
      <c r="G12" s="97">
        <f t="shared" si="3"/>
        <v>2400</v>
      </c>
      <c r="H12" s="98">
        <f t="shared" si="4"/>
        <v>0</v>
      </c>
    </row>
    <row r="13" ht="13.5" customHeight="1">
      <c r="A13" s="124" t="s">
        <v>71</v>
      </c>
      <c r="B13" s="76">
        <v>0.0</v>
      </c>
      <c r="C13" s="73">
        <v>170.0</v>
      </c>
      <c r="D13" s="74">
        <v>0.0</v>
      </c>
      <c r="E13" s="75">
        <f t="shared" ref="E13:E16" si="6">C13+D13</f>
        <v>170</v>
      </c>
      <c r="F13" s="76">
        <f t="shared" si="2"/>
        <v>0</v>
      </c>
      <c r="G13" s="73">
        <f t="shared" si="3"/>
        <v>0</v>
      </c>
      <c r="H13" s="77">
        <f t="shared" si="4"/>
        <v>0</v>
      </c>
    </row>
    <row r="14" ht="13.5" customHeight="1">
      <c r="A14" s="125" t="s">
        <v>72</v>
      </c>
      <c r="B14" s="83">
        <v>5.0</v>
      </c>
      <c r="C14" s="80">
        <v>240.0</v>
      </c>
      <c r="D14" s="81">
        <v>0.0</v>
      </c>
      <c r="E14" s="82">
        <f t="shared" si="6"/>
        <v>240</v>
      </c>
      <c r="F14" s="83">
        <f t="shared" si="2"/>
        <v>1200</v>
      </c>
      <c r="G14" s="80">
        <f t="shared" si="3"/>
        <v>1200</v>
      </c>
      <c r="H14" s="84">
        <f t="shared" si="4"/>
        <v>0</v>
      </c>
    </row>
    <row r="15" ht="13.5" customHeight="1">
      <c r="A15" s="125" t="s">
        <v>73</v>
      </c>
      <c r="B15" s="83">
        <v>4.0</v>
      </c>
      <c r="C15" s="80">
        <v>240.0</v>
      </c>
      <c r="D15" s="81">
        <v>0.0</v>
      </c>
      <c r="E15" s="82">
        <f t="shared" si="6"/>
        <v>240</v>
      </c>
      <c r="F15" s="83">
        <f t="shared" si="2"/>
        <v>960</v>
      </c>
      <c r="G15" s="80">
        <f t="shared" si="3"/>
        <v>960</v>
      </c>
      <c r="H15" s="84">
        <f t="shared" si="4"/>
        <v>0</v>
      </c>
    </row>
    <row r="16" ht="13.5" customHeight="1">
      <c r="A16" s="151" t="s">
        <v>74</v>
      </c>
      <c r="B16" s="152">
        <v>1.0</v>
      </c>
      <c r="C16" s="87">
        <v>170.0</v>
      </c>
      <c r="D16" s="88">
        <v>0.0</v>
      </c>
      <c r="E16" s="153">
        <f t="shared" si="6"/>
        <v>170</v>
      </c>
      <c r="F16" s="152">
        <f t="shared" si="2"/>
        <v>170</v>
      </c>
      <c r="G16" s="87">
        <f t="shared" si="3"/>
        <v>170</v>
      </c>
      <c r="H16" s="154">
        <f t="shared" si="4"/>
        <v>0</v>
      </c>
    </row>
    <row r="17" ht="13.5" customHeight="1">
      <c r="A17" s="170" t="s">
        <v>16</v>
      </c>
      <c r="B17" s="139">
        <v>5.0</v>
      </c>
      <c r="C17" s="94">
        <v>300.0</v>
      </c>
      <c r="D17" s="17">
        <f t="shared" ref="D17:D25" si="7">E17-C17</f>
        <v>0</v>
      </c>
      <c r="E17" s="16">
        <v>300.0</v>
      </c>
      <c r="F17" s="139">
        <f t="shared" si="2"/>
        <v>1500</v>
      </c>
      <c r="G17" s="94">
        <f t="shared" si="3"/>
        <v>1500</v>
      </c>
      <c r="H17" s="140">
        <f t="shared" si="4"/>
        <v>0</v>
      </c>
    </row>
    <row r="18" ht="13.5" customHeight="1">
      <c r="A18" s="118" t="s">
        <v>20</v>
      </c>
      <c r="B18" s="106">
        <v>5.0</v>
      </c>
      <c r="C18" s="100">
        <v>200.0</v>
      </c>
      <c r="D18" s="24">
        <f t="shared" si="7"/>
        <v>0</v>
      </c>
      <c r="E18" s="23">
        <v>200.0</v>
      </c>
      <c r="F18" s="96">
        <f t="shared" si="2"/>
        <v>1000</v>
      </c>
      <c r="G18" s="97">
        <f t="shared" si="3"/>
        <v>1000</v>
      </c>
      <c r="H18" s="98">
        <f t="shared" si="4"/>
        <v>0</v>
      </c>
    </row>
    <row r="19" ht="13.5" customHeight="1">
      <c r="A19" s="120" t="s">
        <v>30</v>
      </c>
      <c r="B19" s="106">
        <v>6.0</v>
      </c>
      <c r="C19" s="100">
        <v>400.0</v>
      </c>
      <c r="D19" s="24">
        <f t="shared" si="7"/>
        <v>0</v>
      </c>
      <c r="E19" s="23">
        <v>400.0</v>
      </c>
      <c r="F19" s="96">
        <f t="shared" si="2"/>
        <v>2400</v>
      </c>
      <c r="G19" s="97">
        <f t="shared" si="3"/>
        <v>2400</v>
      </c>
      <c r="H19" s="98">
        <f t="shared" si="4"/>
        <v>0</v>
      </c>
    </row>
    <row r="20" ht="13.5" customHeight="1">
      <c r="A20" s="120" t="s">
        <v>31</v>
      </c>
      <c r="B20" s="106">
        <v>14.0</v>
      </c>
      <c r="C20" s="100">
        <v>400.0</v>
      </c>
      <c r="D20" s="24">
        <f t="shared" si="7"/>
        <v>0</v>
      </c>
      <c r="E20" s="23">
        <v>400.0</v>
      </c>
      <c r="F20" s="96">
        <f t="shared" si="2"/>
        <v>5600</v>
      </c>
      <c r="G20" s="97">
        <f t="shared" si="3"/>
        <v>5600</v>
      </c>
      <c r="H20" s="98">
        <f t="shared" si="4"/>
        <v>0</v>
      </c>
    </row>
    <row r="21" ht="13.5" customHeight="1">
      <c r="A21" s="120" t="s">
        <v>25</v>
      </c>
      <c r="B21" s="106">
        <v>8.0</v>
      </c>
      <c r="C21" s="100">
        <v>500.0</v>
      </c>
      <c r="D21" s="24">
        <f t="shared" si="7"/>
        <v>0</v>
      </c>
      <c r="E21" s="23">
        <v>500.0</v>
      </c>
      <c r="F21" s="96">
        <f t="shared" si="2"/>
        <v>4000</v>
      </c>
      <c r="G21" s="97">
        <f t="shared" si="3"/>
        <v>4000</v>
      </c>
      <c r="H21" s="98">
        <f t="shared" si="4"/>
        <v>0</v>
      </c>
    </row>
    <row r="22" ht="13.5" customHeight="1">
      <c r="A22" s="120" t="s">
        <v>26</v>
      </c>
      <c r="B22" s="106">
        <v>10.0</v>
      </c>
      <c r="C22" s="100">
        <v>450.0</v>
      </c>
      <c r="D22" s="24">
        <f t="shared" si="7"/>
        <v>0</v>
      </c>
      <c r="E22" s="23">
        <v>450.0</v>
      </c>
      <c r="F22" s="96">
        <f t="shared" si="2"/>
        <v>4500</v>
      </c>
      <c r="G22" s="97">
        <f t="shared" si="3"/>
        <v>4500</v>
      </c>
      <c r="H22" s="98">
        <f t="shared" si="4"/>
        <v>0</v>
      </c>
    </row>
    <row r="23" ht="13.5" customHeight="1">
      <c r="A23" s="120" t="s">
        <v>27</v>
      </c>
      <c r="B23" s="106">
        <v>4.0</v>
      </c>
      <c r="C23" s="100">
        <v>450.0</v>
      </c>
      <c r="D23" s="24">
        <f t="shared" si="7"/>
        <v>0</v>
      </c>
      <c r="E23" s="23">
        <v>450.0</v>
      </c>
      <c r="F23" s="96">
        <f t="shared" si="2"/>
        <v>1800</v>
      </c>
      <c r="G23" s="97">
        <f t="shared" si="3"/>
        <v>1800</v>
      </c>
      <c r="H23" s="98">
        <f t="shared" si="4"/>
        <v>0</v>
      </c>
    </row>
    <row r="24" ht="13.5" customHeight="1">
      <c r="A24" s="117" t="s">
        <v>28</v>
      </c>
      <c r="B24" s="20">
        <v>7.0</v>
      </c>
      <c r="C24" s="100">
        <v>200.0</v>
      </c>
      <c r="D24" s="24">
        <f t="shared" si="7"/>
        <v>0</v>
      </c>
      <c r="E24" s="23">
        <v>200.0</v>
      </c>
      <c r="F24" s="106">
        <f t="shared" si="2"/>
        <v>1400</v>
      </c>
      <c r="G24" s="100">
        <f t="shared" si="3"/>
        <v>1400</v>
      </c>
      <c r="H24" s="104">
        <f t="shared" si="4"/>
        <v>0</v>
      </c>
    </row>
    <row r="25" ht="13.5" customHeight="1">
      <c r="A25" s="189" t="s">
        <v>29</v>
      </c>
      <c r="B25" s="143">
        <v>2.0</v>
      </c>
      <c r="C25" s="111">
        <v>200.0</v>
      </c>
      <c r="D25" s="44">
        <f t="shared" si="7"/>
        <v>0</v>
      </c>
      <c r="E25" s="43">
        <v>200.0</v>
      </c>
      <c r="F25" s="143">
        <f t="shared" si="2"/>
        <v>400</v>
      </c>
      <c r="G25" s="111">
        <f t="shared" si="3"/>
        <v>400</v>
      </c>
      <c r="H25" s="144">
        <f t="shared" si="4"/>
        <v>0</v>
      </c>
    </row>
    <row r="26" ht="13.5" customHeight="1">
      <c r="A26" s="175" t="s">
        <v>78</v>
      </c>
      <c r="B26" s="147">
        <v>1.0</v>
      </c>
      <c r="C26" s="113">
        <v>170.0</v>
      </c>
      <c r="D26" s="114">
        <v>0.0</v>
      </c>
      <c r="E26" s="146">
        <f t="shared" ref="E26:E29" si="8">C26+D26</f>
        <v>170</v>
      </c>
      <c r="F26" s="147">
        <f t="shared" si="2"/>
        <v>170</v>
      </c>
      <c r="G26" s="113">
        <f t="shared" si="3"/>
        <v>170</v>
      </c>
      <c r="H26" s="148">
        <f t="shared" si="4"/>
        <v>0</v>
      </c>
    </row>
    <row r="27" ht="13.5" customHeight="1">
      <c r="A27" s="125" t="s">
        <v>79</v>
      </c>
      <c r="B27" s="83">
        <v>10.0</v>
      </c>
      <c r="C27" s="80">
        <v>240.0</v>
      </c>
      <c r="D27" s="81">
        <v>0.0</v>
      </c>
      <c r="E27" s="82">
        <f t="shared" si="8"/>
        <v>240</v>
      </c>
      <c r="F27" s="83">
        <f t="shared" si="2"/>
        <v>2400</v>
      </c>
      <c r="G27" s="80">
        <f t="shared" si="3"/>
        <v>2400</v>
      </c>
      <c r="H27" s="84">
        <f t="shared" si="4"/>
        <v>0</v>
      </c>
    </row>
    <row r="28" ht="13.5" customHeight="1">
      <c r="A28" s="125" t="s">
        <v>80</v>
      </c>
      <c r="B28" s="83">
        <v>4.0</v>
      </c>
      <c r="C28" s="80">
        <v>240.0</v>
      </c>
      <c r="D28" s="81">
        <v>0.0</v>
      </c>
      <c r="E28" s="82">
        <f t="shared" si="8"/>
        <v>240</v>
      </c>
      <c r="F28" s="83">
        <f t="shared" si="2"/>
        <v>960</v>
      </c>
      <c r="G28" s="80">
        <f t="shared" si="3"/>
        <v>960</v>
      </c>
      <c r="H28" s="84">
        <f t="shared" si="4"/>
        <v>0</v>
      </c>
    </row>
    <row r="29" ht="13.5" customHeight="1">
      <c r="A29" s="126" t="s">
        <v>81</v>
      </c>
      <c r="B29" s="90">
        <v>1.0</v>
      </c>
      <c r="C29" s="91">
        <v>170.0</v>
      </c>
      <c r="D29" s="116">
        <v>0.0</v>
      </c>
      <c r="E29" s="89">
        <f t="shared" si="8"/>
        <v>170</v>
      </c>
      <c r="F29" s="90">
        <f t="shared" si="2"/>
        <v>170</v>
      </c>
      <c r="G29" s="91">
        <f t="shared" si="3"/>
        <v>170</v>
      </c>
      <c r="H29" s="92">
        <f t="shared" si="4"/>
        <v>0</v>
      </c>
    </row>
    <row r="30" ht="13.5" customHeight="1">
      <c r="A30" s="117" t="s">
        <v>16</v>
      </c>
      <c r="B30" s="106">
        <v>12.0</v>
      </c>
      <c r="C30" s="100">
        <v>300.0</v>
      </c>
      <c r="D30" s="24">
        <f t="shared" ref="D30:D38" si="9">E30-C30</f>
        <v>0</v>
      </c>
      <c r="E30" s="23">
        <v>300.0</v>
      </c>
      <c r="F30" s="176">
        <f t="shared" si="2"/>
        <v>3600</v>
      </c>
      <c r="G30" s="94">
        <f t="shared" si="3"/>
        <v>3600</v>
      </c>
      <c r="H30" s="140">
        <f t="shared" si="4"/>
        <v>0</v>
      </c>
    </row>
    <row r="31" ht="13.5" customHeight="1">
      <c r="A31" s="120" t="s">
        <v>30</v>
      </c>
      <c r="B31" s="106">
        <v>4.0</v>
      </c>
      <c r="C31" s="100">
        <v>400.0</v>
      </c>
      <c r="D31" s="24">
        <f t="shared" si="9"/>
        <v>0</v>
      </c>
      <c r="E31" s="23">
        <v>400.0</v>
      </c>
      <c r="F31" s="96">
        <f t="shared" si="2"/>
        <v>1600</v>
      </c>
      <c r="G31" s="97">
        <f t="shared" si="3"/>
        <v>1600</v>
      </c>
      <c r="H31" s="98">
        <f t="shared" si="4"/>
        <v>0</v>
      </c>
    </row>
    <row r="32" ht="13.5" customHeight="1">
      <c r="A32" s="120" t="s">
        <v>18</v>
      </c>
      <c r="B32" s="106">
        <v>11.0</v>
      </c>
      <c r="C32" s="100">
        <v>400.0</v>
      </c>
      <c r="D32" s="24">
        <f t="shared" si="9"/>
        <v>0</v>
      </c>
      <c r="E32" s="23">
        <v>400.0</v>
      </c>
      <c r="F32" s="106">
        <f t="shared" si="2"/>
        <v>4400</v>
      </c>
      <c r="G32" s="100">
        <f t="shared" si="3"/>
        <v>4400</v>
      </c>
      <c r="H32" s="104">
        <f t="shared" si="4"/>
        <v>0</v>
      </c>
    </row>
    <row r="33" ht="13.5" customHeight="1">
      <c r="A33" s="117" t="s">
        <v>17</v>
      </c>
      <c r="B33" s="106">
        <v>9.0</v>
      </c>
      <c r="C33" s="100">
        <v>300.0</v>
      </c>
      <c r="D33" s="24">
        <f t="shared" si="9"/>
        <v>0</v>
      </c>
      <c r="E33" s="23">
        <v>300.0</v>
      </c>
      <c r="F33" s="106">
        <f t="shared" si="2"/>
        <v>2700</v>
      </c>
      <c r="G33" s="100">
        <f t="shared" si="3"/>
        <v>2700</v>
      </c>
      <c r="H33" s="104">
        <f t="shared" si="4"/>
        <v>0</v>
      </c>
    </row>
    <row r="34" ht="13.5" customHeight="1">
      <c r="A34" s="117" t="s">
        <v>19</v>
      </c>
      <c r="B34" s="106">
        <v>16.0</v>
      </c>
      <c r="C34" s="100">
        <v>200.0</v>
      </c>
      <c r="D34" s="24">
        <f t="shared" si="9"/>
        <v>0</v>
      </c>
      <c r="E34" s="23">
        <v>200.0</v>
      </c>
      <c r="F34" s="106">
        <f t="shared" si="2"/>
        <v>3200</v>
      </c>
      <c r="G34" s="100">
        <f t="shared" si="3"/>
        <v>3200</v>
      </c>
      <c r="H34" s="104">
        <f t="shared" si="4"/>
        <v>0</v>
      </c>
    </row>
    <row r="35" ht="13.5" customHeight="1">
      <c r="A35" s="120" t="s">
        <v>21</v>
      </c>
      <c r="B35" s="106">
        <v>9.0</v>
      </c>
      <c r="C35" s="100">
        <v>400.0</v>
      </c>
      <c r="D35" s="24">
        <f t="shared" si="9"/>
        <v>0</v>
      </c>
      <c r="E35" s="23">
        <v>400.0</v>
      </c>
      <c r="F35" s="106">
        <f t="shared" si="2"/>
        <v>3600</v>
      </c>
      <c r="G35" s="100">
        <f t="shared" si="3"/>
        <v>3600</v>
      </c>
      <c r="H35" s="104">
        <f t="shared" si="4"/>
        <v>0</v>
      </c>
    </row>
    <row r="36" ht="13.5" customHeight="1">
      <c r="A36" s="120" t="s">
        <v>22</v>
      </c>
      <c r="B36" s="106">
        <v>7.0</v>
      </c>
      <c r="C36" s="100">
        <v>500.0</v>
      </c>
      <c r="D36" s="24">
        <f t="shared" si="9"/>
        <v>0</v>
      </c>
      <c r="E36" s="23">
        <v>500.0</v>
      </c>
      <c r="F36" s="106">
        <f t="shared" si="2"/>
        <v>3500</v>
      </c>
      <c r="G36" s="100">
        <f t="shared" si="3"/>
        <v>3500</v>
      </c>
      <c r="H36" s="104">
        <f t="shared" si="4"/>
        <v>0</v>
      </c>
    </row>
    <row r="37" ht="13.5" customHeight="1">
      <c r="A37" s="177" t="s">
        <v>23</v>
      </c>
      <c r="B37" s="105">
        <v>7.0</v>
      </c>
      <c r="C37" s="100">
        <v>450.0</v>
      </c>
      <c r="D37" s="24">
        <f t="shared" si="9"/>
        <v>0</v>
      </c>
      <c r="E37" s="95">
        <v>450.0</v>
      </c>
      <c r="F37" s="106">
        <f t="shared" si="2"/>
        <v>3150</v>
      </c>
      <c r="G37" s="100">
        <f t="shared" si="3"/>
        <v>3150</v>
      </c>
      <c r="H37" s="104">
        <f t="shared" si="4"/>
        <v>0</v>
      </c>
    </row>
    <row r="38" ht="13.5" customHeight="1">
      <c r="A38" s="127" t="s">
        <v>24</v>
      </c>
      <c r="B38" s="105">
        <v>10.0</v>
      </c>
      <c r="C38" s="100">
        <v>500.0</v>
      </c>
      <c r="D38" s="24">
        <f t="shared" si="9"/>
        <v>0</v>
      </c>
      <c r="E38" s="95">
        <v>500.0</v>
      </c>
      <c r="F38" s="106">
        <f t="shared" si="2"/>
        <v>5000</v>
      </c>
      <c r="G38" s="100">
        <f t="shared" si="3"/>
        <v>5000</v>
      </c>
      <c r="H38" s="104">
        <f t="shared" si="4"/>
        <v>0</v>
      </c>
    </row>
    <row r="39" ht="13.5" customHeight="1">
      <c r="A39" s="124" t="s">
        <v>82</v>
      </c>
      <c r="B39" s="76">
        <v>1.0</v>
      </c>
      <c r="C39" s="73">
        <v>170.0</v>
      </c>
      <c r="D39" s="74">
        <v>0.0</v>
      </c>
      <c r="E39" s="75">
        <f t="shared" ref="E39:E42" si="10">C39+D39</f>
        <v>170</v>
      </c>
      <c r="F39" s="76">
        <f t="shared" si="2"/>
        <v>170</v>
      </c>
      <c r="G39" s="73">
        <f t="shared" si="3"/>
        <v>170</v>
      </c>
      <c r="H39" s="77">
        <f t="shared" si="4"/>
        <v>0</v>
      </c>
    </row>
    <row r="40" ht="13.5" customHeight="1">
      <c r="A40" s="125" t="s">
        <v>83</v>
      </c>
      <c r="B40" s="83">
        <v>27.0</v>
      </c>
      <c r="C40" s="80">
        <v>240.0</v>
      </c>
      <c r="D40" s="81">
        <v>0.0</v>
      </c>
      <c r="E40" s="82">
        <f t="shared" si="10"/>
        <v>240</v>
      </c>
      <c r="F40" s="83">
        <f t="shared" si="2"/>
        <v>6480</v>
      </c>
      <c r="G40" s="80">
        <f t="shared" si="3"/>
        <v>6480</v>
      </c>
      <c r="H40" s="84">
        <f t="shared" si="4"/>
        <v>0</v>
      </c>
    </row>
    <row r="41" ht="13.5" customHeight="1">
      <c r="A41" s="125" t="s">
        <v>84</v>
      </c>
      <c r="B41" s="83">
        <v>5.0</v>
      </c>
      <c r="C41" s="80">
        <v>240.0</v>
      </c>
      <c r="D41" s="81">
        <v>0.0</v>
      </c>
      <c r="E41" s="82">
        <f t="shared" si="10"/>
        <v>240</v>
      </c>
      <c r="F41" s="83">
        <f t="shared" si="2"/>
        <v>1200</v>
      </c>
      <c r="G41" s="80">
        <f t="shared" si="3"/>
        <v>1200</v>
      </c>
      <c r="H41" s="84">
        <f t="shared" si="4"/>
        <v>0</v>
      </c>
    </row>
    <row r="42" ht="13.5" customHeight="1">
      <c r="A42" s="126" t="s">
        <v>85</v>
      </c>
      <c r="B42" s="90">
        <v>0.0</v>
      </c>
      <c r="C42" s="91">
        <v>170.0</v>
      </c>
      <c r="D42" s="116">
        <v>0.0</v>
      </c>
      <c r="E42" s="89">
        <f t="shared" si="10"/>
        <v>170</v>
      </c>
      <c r="F42" s="90">
        <f t="shared" si="2"/>
        <v>0</v>
      </c>
      <c r="G42" s="91">
        <f t="shared" si="3"/>
        <v>0</v>
      </c>
      <c r="H42" s="92">
        <f t="shared" si="4"/>
        <v>0</v>
      </c>
    </row>
    <row r="43" ht="13.5" customHeight="1">
      <c r="A43" s="117" t="s">
        <v>16</v>
      </c>
      <c r="B43" s="106">
        <v>4.0</v>
      </c>
      <c r="C43" s="100">
        <v>300.0</v>
      </c>
      <c r="D43" s="24">
        <f t="shared" ref="D43:D54" si="11">E43-C43</f>
        <v>0</v>
      </c>
      <c r="E43" s="23">
        <v>300.0</v>
      </c>
      <c r="F43" s="96">
        <f t="shared" si="2"/>
        <v>1200</v>
      </c>
      <c r="G43" s="97">
        <f t="shared" si="3"/>
        <v>1200</v>
      </c>
      <c r="H43" s="98">
        <f t="shared" si="4"/>
        <v>0</v>
      </c>
    </row>
    <row r="44" ht="13.5" customHeight="1">
      <c r="A44" s="118" t="s">
        <v>20</v>
      </c>
      <c r="B44" s="106">
        <v>5.0</v>
      </c>
      <c r="C44" s="100">
        <v>200.0</v>
      </c>
      <c r="D44" s="24">
        <f t="shared" si="11"/>
        <v>0</v>
      </c>
      <c r="E44" s="23">
        <v>200.0</v>
      </c>
      <c r="F44" s="106">
        <f t="shared" si="2"/>
        <v>1000</v>
      </c>
      <c r="G44" s="100">
        <f t="shared" si="3"/>
        <v>1000</v>
      </c>
      <c r="H44" s="104">
        <f t="shared" si="4"/>
        <v>0</v>
      </c>
    </row>
    <row r="45" ht="13.5" customHeight="1">
      <c r="A45" s="120" t="s">
        <v>31</v>
      </c>
      <c r="B45" s="106">
        <v>10.0</v>
      </c>
      <c r="C45" s="100">
        <v>400.0</v>
      </c>
      <c r="D45" s="24">
        <f t="shared" si="11"/>
        <v>0</v>
      </c>
      <c r="E45" s="23">
        <v>400.0</v>
      </c>
      <c r="F45" s="96">
        <f t="shared" si="2"/>
        <v>4000</v>
      </c>
      <c r="G45" s="97">
        <f t="shared" si="3"/>
        <v>4000</v>
      </c>
      <c r="H45" s="98">
        <f t="shared" si="4"/>
        <v>0</v>
      </c>
    </row>
    <row r="46" ht="13.5" customHeight="1">
      <c r="A46" s="120" t="s">
        <v>140</v>
      </c>
      <c r="B46" s="106">
        <v>20.0</v>
      </c>
      <c r="C46" s="100">
        <v>0.0</v>
      </c>
      <c r="D46" s="24">
        <f t="shared" si="11"/>
        <v>1800</v>
      </c>
      <c r="E46" s="23">
        <v>1800.0</v>
      </c>
      <c r="F46" s="96">
        <f t="shared" si="2"/>
        <v>36000</v>
      </c>
      <c r="G46" s="97">
        <f t="shared" si="3"/>
        <v>0</v>
      </c>
      <c r="H46" s="98">
        <f t="shared" si="4"/>
        <v>36000</v>
      </c>
    </row>
    <row r="47" ht="13.5" customHeight="1">
      <c r="A47" s="120" t="s">
        <v>141</v>
      </c>
      <c r="B47" s="106">
        <v>10.0</v>
      </c>
      <c r="C47" s="100">
        <v>0.0</v>
      </c>
      <c r="D47" s="24">
        <f t="shared" si="11"/>
        <v>1200</v>
      </c>
      <c r="E47" s="23">
        <v>1200.0</v>
      </c>
      <c r="F47" s="96">
        <f t="shared" si="2"/>
        <v>12000</v>
      </c>
      <c r="G47" s="97">
        <f t="shared" si="3"/>
        <v>0</v>
      </c>
      <c r="H47" s="98">
        <f t="shared" si="4"/>
        <v>12000</v>
      </c>
    </row>
    <row r="48" ht="13.5" customHeight="1">
      <c r="A48" s="120" t="s">
        <v>142</v>
      </c>
      <c r="B48" s="106">
        <v>7.0</v>
      </c>
      <c r="C48" s="100">
        <v>0.0</v>
      </c>
      <c r="D48" s="24">
        <f t="shared" si="11"/>
        <v>700</v>
      </c>
      <c r="E48" s="23">
        <v>700.0</v>
      </c>
      <c r="F48" s="96">
        <f t="shared" si="2"/>
        <v>4900</v>
      </c>
      <c r="G48" s="97">
        <f t="shared" si="3"/>
        <v>0</v>
      </c>
      <c r="H48" s="98">
        <f t="shared" si="4"/>
        <v>4900</v>
      </c>
    </row>
    <row r="49" ht="13.5" customHeight="1">
      <c r="A49" s="117" t="s">
        <v>143</v>
      </c>
      <c r="B49" s="106">
        <v>0.0</v>
      </c>
      <c r="C49" s="100">
        <v>0.0</v>
      </c>
      <c r="D49" s="24">
        <f t="shared" si="11"/>
        <v>400</v>
      </c>
      <c r="E49" s="23">
        <v>400.0</v>
      </c>
      <c r="F49" s="96">
        <f t="shared" si="2"/>
        <v>0</v>
      </c>
      <c r="G49" s="97">
        <f t="shared" si="3"/>
        <v>0</v>
      </c>
      <c r="H49" s="98">
        <f t="shared" si="4"/>
        <v>0</v>
      </c>
    </row>
    <row r="50" ht="13.5" customHeight="1">
      <c r="A50" s="117" t="s">
        <v>25</v>
      </c>
      <c r="B50" s="106">
        <v>14.0</v>
      </c>
      <c r="C50" s="100">
        <v>1000.0</v>
      </c>
      <c r="D50" s="24">
        <f t="shared" si="11"/>
        <v>0</v>
      </c>
      <c r="E50" s="23">
        <v>1000.0</v>
      </c>
      <c r="F50" s="96">
        <f t="shared" si="2"/>
        <v>14000</v>
      </c>
      <c r="G50" s="97">
        <f t="shared" si="3"/>
        <v>14000</v>
      </c>
      <c r="H50" s="98">
        <f t="shared" si="4"/>
        <v>0</v>
      </c>
    </row>
    <row r="51" ht="13.5" customHeight="1">
      <c r="A51" s="120" t="s">
        <v>26</v>
      </c>
      <c r="B51" s="106">
        <v>17.0</v>
      </c>
      <c r="C51" s="100">
        <v>500.0</v>
      </c>
      <c r="D51" s="24">
        <f t="shared" si="11"/>
        <v>0</v>
      </c>
      <c r="E51" s="23">
        <v>500.0</v>
      </c>
      <c r="F51" s="96">
        <f t="shared" si="2"/>
        <v>8500</v>
      </c>
      <c r="G51" s="97">
        <f t="shared" si="3"/>
        <v>8500</v>
      </c>
      <c r="H51" s="98">
        <f t="shared" si="4"/>
        <v>0</v>
      </c>
    </row>
    <row r="52" ht="13.5" customHeight="1">
      <c r="A52" s="120" t="s">
        <v>27</v>
      </c>
      <c r="B52" s="106">
        <v>5.0</v>
      </c>
      <c r="C52" s="100">
        <v>500.0</v>
      </c>
      <c r="D52" s="24">
        <f t="shared" si="11"/>
        <v>0</v>
      </c>
      <c r="E52" s="23">
        <v>500.0</v>
      </c>
      <c r="F52" s="96">
        <f t="shared" si="2"/>
        <v>2500</v>
      </c>
      <c r="G52" s="97">
        <f t="shared" si="3"/>
        <v>2500</v>
      </c>
      <c r="H52" s="98">
        <f t="shared" si="4"/>
        <v>0</v>
      </c>
    </row>
    <row r="53" ht="13.5" customHeight="1">
      <c r="A53" s="177" t="s">
        <v>28</v>
      </c>
      <c r="B53" s="105">
        <v>7.0</v>
      </c>
      <c r="C53" s="100">
        <v>200.0</v>
      </c>
      <c r="D53" s="24">
        <f t="shared" si="11"/>
        <v>0</v>
      </c>
      <c r="E53" s="95">
        <v>200.0</v>
      </c>
      <c r="F53" s="96">
        <f t="shared" si="2"/>
        <v>1400</v>
      </c>
      <c r="G53" s="97">
        <f t="shared" si="3"/>
        <v>1400</v>
      </c>
      <c r="H53" s="98">
        <f t="shared" si="4"/>
        <v>0</v>
      </c>
    </row>
    <row r="54" ht="13.5" customHeight="1">
      <c r="A54" s="178" t="s">
        <v>29</v>
      </c>
      <c r="B54" s="105">
        <v>3.0</v>
      </c>
      <c r="C54" s="100">
        <v>200.0</v>
      </c>
      <c r="D54" s="24">
        <f t="shared" si="11"/>
        <v>0</v>
      </c>
      <c r="E54" s="95">
        <v>200.0</v>
      </c>
      <c r="F54" s="96">
        <f t="shared" si="2"/>
        <v>600</v>
      </c>
      <c r="G54" s="97">
        <f t="shared" si="3"/>
        <v>600</v>
      </c>
      <c r="H54" s="98">
        <f t="shared" si="4"/>
        <v>0</v>
      </c>
    </row>
    <row r="55" ht="13.5" customHeight="1">
      <c r="A55" s="124" t="s">
        <v>93</v>
      </c>
      <c r="B55" s="76">
        <v>0.0</v>
      </c>
      <c r="C55" s="73">
        <v>170.0</v>
      </c>
      <c r="D55" s="74">
        <v>0.0</v>
      </c>
      <c r="E55" s="75">
        <f t="shared" ref="E55:E58" si="12">C55+D55</f>
        <v>170</v>
      </c>
      <c r="F55" s="76">
        <f t="shared" si="2"/>
        <v>0</v>
      </c>
      <c r="G55" s="73">
        <f t="shared" si="3"/>
        <v>0</v>
      </c>
      <c r="H55" s="77">
        <f t="shared" si="4"/>
        <v>0</v>
      </c>
    </row>
    <row r="56" ht="13.5" customHeight="1">
      <c r="A56" s="125" t="s">
        <v>94</v>
      </c>
      <c r="B56" s="83">
        <v>10.0</v>
      </c>
      <c r="C56" s="80">
        <v>240.0</v>
      </c>
      <c r="D56" s="81">
        <v>0.0</v>
      </c>
      <c r="E56" s="82">
        <f t="shared" si="12"/>
        <v>240</v>
      </c>
      <c r="F56" s="83">
        <f t="shared" si="2"/>
        <v>2400</v>
      </c>
      <c r="G56" s="80">
        <f t="shared" si="3"/>
        <v>2400</v>
      </c>
      <c r="H56" s="84">
        <f t="shared" si="4"/>
        <v>0</v>
      </c>
    </row>
    <row r="57" ht="13.5" customHeight="1">
      <c r="A57" s="125" t="s">
        <v>95</v>
      </c>
      <c r="B57" s="83">
        <v>1.0</v>
      </c>
      <c r="C57" s="80">
        <v>240.0</v>
      </c>
      <c r="D57" s="81">
        <v>0.0</v>
      </c>
      <c r="E57" s="82">
        <f t="shared" si="12"/>
        <v>240</v>
      </c>
      <c r="F57" s="83">
        <f t="shared" si="2"/>
        <v>240</v>
      </c>
      <c r="G57" s="80">
        <f t="shared" si="3"/>
        <v>240</v>
      </c>
      <c r="H57" s="84">
        <f t="shared" si="4"/>
        <v>0</v>
      </c>
    </row>
    <row r="58" ht="13.5" customHeight="1">
      <c r="A58" s="151" t="s">
        <v>96</v>
      </c>
      <c r="B58" s="152">
        <v>0.0</v>
      </c>
      <c r="C58" s="87">
        <v>170.0</v>
      </c>
      <c r="D58" s="88">
        <v>0.0</v>
      </c>
      <c r="E58" s="153">
        <f t="shared" si="12"/>
        <v>170</v>
      </c>
      <c r="F58" s="152">
        <f t="shared" si="2"/>
        <v>0</v>
      </c>
      <c r="G58" s="87">
        <f t="shared" si="3"/>
        <v>0</v>
      </c>
      <c r="H58" s="154">
        <f t="shared" si="4"/>
        <v>0</v>
      </c>
    </row>
    <row r="59" ht="13.5" customHeight="1">
      <c r="A59" s="181" t="s">
        <v>138</v>
      </c>
      <c r="B59" s="139">
        <v>23.0</v>
      </c>
      <c r="C59" s="94">
        <v>300.0</v>
      </c>
      <c r="D59" s="17">
        <f t="shared" ref="D59:D67" si="13">E59-C59</f>
        <v>0</v>
      </c>
      <c r="E59" s="138">
        <v>300.0</v>
      </c>
      <c r="F59" s="139">
        <f t="shared" si="2"/>
        <v>6900</v>
      </c>
      <c r="G59" s="94">
        <f t="shared" si="3"/>
        <v>6900</v>
      </c>
      <c r="H59" s="140">
        <f t="shared" si="4"/>
        <v>0</v>
      </c>
    </row>
    <row r="60" ht="13.5" customHeight="1">
      <c r="A60" s="182" t="s">
        <v>139</v>
      </c>
      <c r="B60" s="96">
        <v>23.0</v>
      </c>
      <c r="C60" s="97">
        <v>300.0</v>
      </c>
      <c r="D60" s="24">
        <f t="shared" si="13"/>
        <v>0</v>
      </c>
      <c r="E60" s="183">
        <v>300.0</v>
      </c>
      <c r="F60" s="96">
        <f t="shared" si="2"/>
        <v>6900</v>
      </c>
      <c r="G60" s="97">
        <f t="shared" si="3"/>
        <v>6900</v>
      </c>
      <c r="H60" s="98">
        <f t="shared" si="4"/>
        <v>0</v>
      </c>
    </row>
    <row r="61" ht="13.5" customHeight="1">
      <c r="A61" s="182" t="s">
        <v>22</v>
      </c>
      <c r="B61" s="96">
        <v>8.0</v>
      </c>
      <c r="C61" s="97">
        <v>1200.0</v>
      </c>
      <c r="D61" s="24">
        <f t="shared" si="13"/>
        <v>0</v>
      </c>
      <c r="E61" s="183">
        <v>1200.0</v>
      </c>
      <c r="F61" s="96">
        <f t="shared" si="2"/>
        <v>9600</v>
      </c>
      <c r="G61" s="97">
        <f t="shared" si="3"/>
        <v>9600</v>
      </c>
      <c r="H61" s="98">
        <f t="shared" si="4"/>
        <v>0</v>
      </c>
    </row>
    <row r="62" ht="13.5" customHeight="1">
      <c r="A62" s="117" t="s">
        <v>23</v>
      </c>
      <c r="B62" s="96">
        <v>7.0</v>
      </c>
      <c r="C62" s="97">
        <v>500.0</v>
      </c>
      <c r="D62" s="24">
        <f t="shared" si="13"/>
        <v>0</v>
      </c>
      <c r="E62" s="183">
        <v>500.0</v>
      </c>
      <c r="F62" s="96">
        <f t="shared" si="2"/>
        <v>3500</v>
      </c>
      <c r="G62" s="97">
        <f t="shared" si="3"/>
        <v>3500</v>
      </c>
      <c r="H62" s="98">
        <f t="shared" si="4"/>
        <v>0</v>
      </c>
    </row>
    <row r="63" ht="13.5" customHeight="1">
      <c r="A63" s="119" t="s">
        <v>24</v>
      </c>
      <c r="B63" s="106">
        <v>6.0</v>
      </c>
      <c r="C63" s="100">
        <v>500.0</v>
      </c>
      <c r="D63" s="24">
        <f t="shared" si="13"/>
        <v>0</v>
      </c>
      <c r="E63" s="95">
        <v>500.0</v>
      </c>
      <c r="F63" s="96">
        <f t="shared" si="2"/>
        <v>3000</v>
      </c>
      <c r="G63" s="97">
        <f t="shared" si="3"/>
        <v>3000</v>
      </c>
      <c r="H63" s="98">
        <f t="shared" si="4"/>
        <v>0</v>
      </c>
    </row>
    <row r="64" ht="13.5" customHeight="1">
      <c r="A64" s="120" t="s">
        <v>144</v>
      </c>
      <c r="B64" s="106">
        <v>13.0</v>
      </c>
      <c r="C64" s="100">
        <v>0.0</v>
      </c>
      <c r="D64" s="24">
        <f t="shared" si="13"/>
        <v>1400</v>
      </c>
      <c r="E64" s="95">
        <v>1400.0</v>
      </c>
      <c r="F64" s="96">
        <f t="shared" si="2"/>
        <v>18200</v>
      </c>
      <c r="G64" s="97">
        <f t="shared" si="3"/>
        <v>0</v>
      </c>
      <c r="H64" s="98">
        <f t="shared" si="4"/>
        <v>18200</v>
      </c>
    </row>
    <row r="65" ht="13.5" customHeight="1">
      <c r="A65" s="185" t="s">
        <v>145</v>
      </c>
      <c r="B65" s="106">
        <v>10.0</v>
      </c>
      <c r="C65" s="100">
        <v>0.0</v>
      </c>
      <c r="D65" s="24">
        <f t="shared" si="13"/>
        <v>880</v>
      </c>
      <c r="E65" s="95">
        <v>880.0</v>
      </c>
      <c r="F65" s="96">
        <f t="shared" si="2"/>
        <v>8800</v>
      </c>
      <c r="G65" s="97">
        <f t="shared" si="3"/>
        <v>0</v>
      </c>
      <c r="H65" s="98">
        <f t="shared" si="4"/>
        <v>8800</v>
      </c>
    </row>
    <row r="66" ht="13.5" customHeight="1">
      <c r="A66" s="178" t="s">
        <v>146</v>
      </c>
      <c r="B66" s="105">
        <v>8.0</v>
      </c>
      <c r="C66" s="100">
        <v>0.0</v>
      </c>
      <c r="D66" s="24">
        <f t="shared" si="13"/>
        <v>440</v>
      </c>
      <c r="E66" s="95">
        <v>440.0</v>
      </c>
      <c r="F66" s="105">
        <f t="shared" si="2"/>
        <v>3520</v>
      </c>
      <c r="G66" s="100">
        <f t="shared" si="3"/>
        <v>0</v>
      </c>
      <c r="H66" s="104">
        <f t="shared" si="4"/>
        <v>3520</v>
      </c>
    </row>
    <row r="67" ht="13.5" customHeight="1">
      <c r="A67" s="186" t="s">
        <v>147</v>
      </c>
      <c r="B67" s="180">
        <v>3.0</v>
      </c>
      <c r="C67" s="111">
        <v>0.0</v>
      </c>
      <c r="D67" s="44">
        <f t="shared" si="13"/>
        <v>400</v>
      </c>
      <c r="E67" s="142">
        <v>400.0</v>
      </c>
      <c r="F67" s="143">
        <f t="shared" si="2"/>
        <v>1200</v>
      </c>
      <c r="G67" s="111">
        <f t="shared" si="3"/>
        <v>0</v>
      </c>
      <c r="H67" s="144">
        <f t="shared" si="4"/>
        <v>1200</v>
      </c>
    </row>
    <row r="68" ht="13.5" customHeight="1">
      <c r="A68" s="158" t="s">
        <v>87</v>
      </c>
      <c r="B68" s="159">
        <v>21.0</v>
      </c>
      <c r="C68" s="160">
        <v>50.0</v>
      </c>
      <c r="D68" s="161">
        <v>0.0</v>
      </c>
      <c r="E68" s="162">
        <f>C68+D68</f>
        <v>50</v>
      </c>
      <c r="F68" s="159">
        <f t="shared" si="2"/>
        <v>1050</v>
      </c>
      <c r="G68" s="160">
        <f t="shared" si="3"/>
        <v>1050</v>
      </c>
      <c r="H68" s="163">
        <f t="shared" si="4"/>
        <v>0</v>
      </c>
    </row>
    <row r="69" ht="13.5" customHeight="1">
      <c r="A69" s="187" t="s">
        <v>86</v>
      </c>
      <c r="B69" s="180"/>
      <c r="C69" s="111">
        <v>50.0</v>
      </c>
      <c r="D69" s="41">
        <f>E69-C69</f>
        <v>0</v>
      </c>
      <c r="E69" s="111">
        <v>50.0</v>
      </c>
      <c r="F69" s="111">
        <f t="shared" si="2"/>
        <v>0</v>
      </c>
      <c r="G69" s="111">
        <f t="shared" si="3"/>
        <v>0</v>
      </c>
      <c r="H69" s="144">
        <f t="shared" si="4"/>
        <v>0</v>
      </c>
    </row>
    <row r="70" ht="13.5" customHeight="1">
      <c r="A70" s="18"/>
      <c r="B70" s="135">
        <f>SUM(B4:B69)</f>
        <v>549</v>
      </c>
      <c r="C70" s="28"/>
      <c r="D70" s="28"/>
      <c r="E70" s="28"/>
      <c r="F70" s="136">
        <f t="shared" ref="F70:H70" si="14">SUM(F4:F69)</f>
        <v>247430</v>
      </c>
      <c r="G70" s="135">
        <f t="shared" si="14"/>
        <v>162810</v>
      </c>
      <c r="H70" s="137">
        <f t="shared" si="14"/>
        <v>84620</v>
      </c>
    </row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G1"/>
    <mergeCell ref="A2:D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2025-05-30T20:22:01Z</dcterms:created>
  <dc:creator>Ilil kaneti</dc:creator>
</cp:coreProperties>
</file>